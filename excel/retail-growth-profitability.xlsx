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8c8db3ccb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7d8958778943cf"/>
    <x:sheet xmlns:r="http://schemas.openxmlformats.org/officeDocument/2006/relationships" name="Monthly Data" sheetId="2" r:id="Read509491a9242e5"/>
    <x:sheet xmlns:r="http://schemas.openxmlformats.org/officeDocument/2006/relationships" name="Forecast Review" sheetId="3" r:id="R3a7ea652cacc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yyyy"/>
    <x:numFmt numFmtId="201" formatCode="#,##0.00"/>
    <x:numFmt numFmtId="202" formatCode="#,##0"/>
    <x:numFmt numFmtId="203" formatCode="&quot;$&quot;#,##0"/>
    <x:numFmt numFmtId="204" formatCode="0.0%"/>
  </x:numFmts>
  <x:fonts count="8">
    <x:font>
      <x:sz val="11"/>
      <x:name val="Carlito"/>
    </x:font>
    <x:font>
      <x:sz val="10"/>
      <x:color rgb="FF182C45"/>
      <x:name val="Arial"/>
    </x:font>
    <x:font>
      <x:b/>
      <x:sz val="16"/>
      <x:color rgb="FF17365D"/>
      <x:name val="Arial"/>
    </x:font>
    <x:font>
      <x:i/>
      <x:sz val="10"/>
      <x:color rgb="FF63758A"/>
      <x:name val="Arial"/>
    </x:font>
    <x:font>
      <x:b/>
      <x:sz val="10"/>
      <x:color rgb="FFFFFFFF"/>
      <x:name val="Arial"/>
    </x:font>
    <x:font>
      <x:sz val="10"/>
      <x:color rgb="FF1A50AF"/>
      <x:name val="Arial"/>
    </x:font>
    <x:font>
      <x:i/>
      <x:sz val="10"/>
      <x:color rgb="FF182C45"/>
      <x:name val="Arial"/>
    </x:font>
    <x:font>
      <x:b/>
      <x:sz val="10"/>
      <x:color rgb="FF6375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B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FC0D2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c575e9cdf47ce" /><Relationship Type="http://schemas.openxmlformats.org/officeDocument/2006/relationships/theme" Target="/xl/theme/theme1.xml" Id="R0203602a74154599" /><Relationship Type="http://schemas.openxmlformats.org/officeDocument/2006/relationships/sharedStrings" Target="/xl/sharedStrings.xml" Id="R6eeff60281b6452a" /><Relationship Type="http://schemas.openxmlformats.org/officeDocument/2006/relationships/worksheet" Target="/xl/worksheets/sheet1.xml" Id="R2e7d8958778943cf" /><Relationship Type="http://schemas.openxmlformats.org/officeDocument/2006/relationships/worksheet" Target="/xl/worksheets/sheet2.xml" Id="Read509491a9242e5" /><Relationship Type="http://schemas.openxmlformats.org/officeDocument/2006/relationships/worksheet" Target="/xl/worksheets/sheet3.xml" Id="R3a7ea652cacc4a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d36eeab35c4a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9dfaf2469b24e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Net revenue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2474A6"/>
            </a:solidFill>
            <a:ln xmlns:a="http://schemas.openxmlformats.org/drawingml/2006/main" w="19050">
              <a:solidFill>
                <a:srgbClr val="2474A6"/>
              </a:solidFill>
              <a:prstDash val="solid"/>
            </a:ln>
          </c:spPr>
          <c:marker>
            <c:symbol val="none"/>
          </c:marker>
          <c:cat>
            <c:strRef>
              <c:f>'Dashboard'!$A$35:$A$52</c:f>
              <c:strCache>
                <c:ptCount val="0"/>
              </c:strCache>
            </c:strRef>
          </c:cat>
          <c:val>
            <c:numRef>
              <c:f>'Dashboard'!$B$35:$B$52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Actual and forecast revenue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USD</c:v>
          </c:tx>
          <c:spPr>
            <a:solidFill xmlns:a="http://schemas.openxmlformats.org/drawingml/2006/main">
              <a:srgbClr val="2474A6"/>
            </a:solidFill>
            <a:ln xmlns:a="http://schemas.openxmlformats.org/drawingml/2006/main" w="19050">
              <a:solidFill>
                <a:srgbClr val="2474A6"/>
              </a:solidFill>
              <a:prstDash val="solid"/>
            </a:ln>
          </c:spPr>
          <c:marker>
            <c:symbol val="none"/>
          </c:marker>
          <c:cat>
            <c:strRef>
              <c:f>'Forecast Review'!$A$6:$A$14</c:f>
              <c:strCache>
                <c:ptCount val="0"/>
              </c:strCache>
            </c:strRef>
          </c:cat>
          <c:val>
            <c:numRef>
              <c:f>'Forecast Review'!$B$6:$B$14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Trend forecast USD</c:v>
          </c:tx>
          <c:spPr>
            <a:solidFill xmlns:a="http://schemas.openxmlformats.org/drawingml/2006/main">
              <a:srgbClr val="E79A35"/>
            </a:solidFill>
            <a:ln xmlns:a="http://schemas.openxmlformats.org/drawingml/2006/main" w="19050">
              <a:solidFill>
                <a:srgbClr val="E79A35"/>
              </a:solidFill>
              <a:prstDash val="solid"/>
            </a:ln>
          </c:spPr>
          <c:marker>
            <c:symbol val="none"/>
          </c:marker>
          <c:cat>
            <c:strRef>
              <c:f>'Forecast Review'!$A$6:$A$14</c:f>
              <c:strCache>
                <c:ptCount val="0"/>
              </c:strCache>
            </c:strRef>
          </c:cat>
          <c:val>
            <c:numRef>
              <c:f>'Forecast Review'!$C$6:$C$14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Naive forecast USD</c:v>
          </c:tx>
          <c:spPr>
            <a:solidFill xmlns:a="http://schemas.openxmlformats.org/drawingml/2006/main">
              <a:srgbClr val="2C8D75"/>
            </a:solidFill>
            <a:ln xmlns:a="http://schemas.openxmlformats.org/drawingml/2006/main" w="19050">
              <a:solidFill>
                <a:srgbClr val="2C8D75"/>
              </a:solidFill>
              <a:prstDash val="dash"/>
            </a:ln>
          </c:spPr>
          <c:marker>
            <c:symbol val="none"/>
          </c:marker>
          <c:cat>
            <c:strRef>
              <c:f>'Forecast Review'!$A$6:$A$14</c:f>
              <c:strCache>
                <c:ptCount val="0"/>
              </c:strCache>
            </c:strRef>
          </c:cat>
          <c:val>
            <c:numRef>
              <c:f>'Forecast Review'!$D$6:$D$14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33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d36eeab35c4af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dfaf2469b24e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ource" displayName="MonthlySource" ref="A5:F77" headerRowCount="1" totalsRowCount="0" totalsRowShown="0">
  <x:tableColumns count="6">
    <x:tableColumn id="1" name="month"/>
    <x:tableColumn id="2" name="segment"/>
    <x:tableColumn id="3" name="orders"/>
    <x:tableColumn id="4" name="returns"/>
    <x:tableColumn id="5" name="revenue"/>
    <x:tableColumn id="6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870802d6a40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e3e7c8565840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b5655917e8a48e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Retail Growth &amp; Profitability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 t="str">
        <x:v>Synthetic portfolio data. USD monetary values. Select a segment to update formulas and charts.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2" customHeight="1">
      <x:c r="A5" s="2" t="str">
        <x:v>Segment</x:v>
      </x:c>
      <x:c r="B5" s="16" t="str">
        <x:v>All</x:v>
      </x:c>
      <x:c r="C5" s="2"/>
      <x:c r="D5" s="2"/>
      <x:c r="E5" s="2"/>
      <x:c r="F5" s="2"/>
      <x:c r="G5" s="17" t="str">
        <x:v>Editable controls are amber.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19" t="str">
        <x:v>Net revenue</x:v>
      </x:c>
      <x:c r="B7" s="2"/>
      <x:c r="C7" s="2"/>
      <x:c r="D7" s="2"/>
      <x:c r="E7" s="19" t="str">
        <x:v>Contribution profit</x:v>
      </x:c>
      <x:c r="F7" s="2"/>
      <x:c r="G7" s="2"/>
      <x:c r="H7" s="2"/>
      <x:c r="I7" s="19" t="str">
        <x:v>Contribution margin</x:v>
      </x:c>
      <x:c r="J7" s="2"/>
      <x:c r="K7" s="2"/>
      <x:c r="L7" s="2"/>
      <x:c r="M7" s="19" t="str">
        <x:v>Return rate</x:v>
      </x:c>
      <x:c r="N7" s="2"/>
      <x:c r="O7" s="2"/>
      <x:c r="P7" s="2"/>
      <x:c r="Q7" s="2"/>
    </x:row>
    <x:row r="8" ht="22" customHeight="1">
      <x:c r="A8" s="20" t="n">
        <x:f>SUM(B13:B30)</x:f>
        <x:v>1275348.26</x:v>
      </x:c>
      <x:c r="B8" s="2"/>
      <x:c r="C8" s="2"/>
      <x:c r="D8" s="2"/>
      <x:c r="E8" s="20" t="n">
        <x:f>SUM(C13:C30)</x:f>
        <x:v>401839.74</x:v>
      </x:c>
      <x:c r="F8" s="2"/>
      <x:c r="G8" s="2"/>
      <x:c r="H8" s="2"/>
      <x:c r="I8" s="21" t="n">
        <x:f>IF(SUM(B13:B30)=0,"n.a.",SUM(C13:C30)/SUM(B13:B30))</x:f>
        <x:v>0.31508236032720977</x:v>
      </x:c>
      <x:c r="J8" s="2"/>
      <x:c r="K8" s="2"/>
      <x:c r="L8" s="2"/>
      <x:c r="M8" s="21" t="n">
        <x:f>IF(SUM(E13:E30)=0,"n.a.",SUM(D13:D30)/SUM(E13:E30))</x:f>
        <x:v>0.09151737535074465</x:v>
      </x:c>
      <x:c r="N8" s="2"/>
      <x:c r="O8" s="2"/>
      <x:c r="P8" s="2"/>
      <x:c r="Q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6" customHeight="1">
      <x:c r="A12" s="12" t="str">
        <x:v>Month</x:v>
      </x:c>
      <x:c r="B12" s="12" t="str">
        <x:v>revenue</x:v>
      </x:c>
      <x:c r="C12" s="12" t="str">
        <x:v>profit</x:v>
      </x:c>
      <x:c r="D12" s="12" t="str">
        <x:v>returns</x:v>
      </x:c>
      <x:c r="E12" s="12" t="str">
        <x:v>orders</x:v>
      </x:c>
      <x:c r="F12" s="12" t="str">
        <x:v>Contribution margin</x:v>
      </x:c>
      <x:c r="G12" s="12" t="str">
        <x:v>Return rate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10" t="d">
        <x:v>2024-01-01T00:00:00.000Z</x:v>
      </x:c>
      <x:c r="B13" s="14" t="n">
        <x:f>IF($B$5="All",SUMIFS('Monthly Data'!$E$6:$E$77,'Monthly Data'!$A$6:$A$77,$A13),SUMIFS('Monthly Data'!$E$6:$E$77,'Monthly Data'!$A$6:$A$77,$A13,'Monthly Data'!$B$6:$B$77,$B$5))</x:f>
        <x:v>25467.8</x:v>
      </x:c>
      <x:c r="C13" s="14" t="n">
        <x:f>IF($B$5="All",SUMIFS('Monthly Data'!$F$6:$F$77,'Monthly Data'!$A$6:$A$77,$A13),SUMIFS('Monthly Data'!$F$6:$F$77,'Monthly Data'!$A$6:$A$77,$A13,'Monthly Data'!$B$6:$B$77,$B$5))</x:f>
        <x:v>8400.34</x:v>
      </x:c>
      <x:c r="D13" s="13" t="n">
        <x:f>IF($B$5="All",SUMIFS('Monthly Data'!$D$6:$D$77,'Monthly Data'!$A$6:$A$77,$A13),SUMIFS('Monthly Data'!$D$6:$D$77,'Monthly Data'!$A$6:$A$77,$A13,'Monthly Data'!$B$6:$B$77,$B$5))</x:f>
        <x:v>26</x:v>
      </x:c>
      <x:c r="E13" s="13" t="n">
        <x:f>IF($B$5="All",SUMIFS('Monthly Data'!$C$6:$C$77,'Monthly Data'!$A$6:$A$77,$A13),SUMIFS('Monthly Data'!$C$6:$C$77,'Monthly Data'!$A$6:$A$77,$A13,'Monthly Data'!$B$6:$B$77,$B$5))</x:f>
        <x:v>292</x:v>
      </x:c>
      <x:c r="F13" s="18" t="n">
        <x:f>IF(B13=0,"n.a.",C13/B13)</x:f>
        <x:v>0.3298416039076795</x:v>
      </x:c>
      <x:c r="G13" s="18" t="n">
        <x:f>IF(E13=0,"n.a.",D13/E13)</x:f>
        <x:v>0.08904109589041095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10" t="d">
        <x:v>2024-02-01T00:00:00.000Z</x:v>
      </x:c>
      <x:c r="B14" s="14" t="n">
        <x:f>IF($B$5="All",SUMIFS('Monthly Data'!$E$6:$E$77,'Monthly Data'!$A$6:$A$77,$A14),SUMIFS('Monthly Data'!$E$6:$E$77,'Monthly Data'!$A$6:$A$77,$A14,'Monthly Data'!$B$6:$B$77,$B$5))</x:f>
        <x:v>34406.1</x:v>
      </x:c>
      <x:c r="C14" s="14" t="n">
        <x:f>IF($B$5="All",SUMIFS('Monthly Data'!$F$6:$F$77,'Monthly Data'!$A$6:$A$77,$A14),SUMIFS('Monthly Data'!$F$6:$F$77,'Monthly Data'!$A$6:$A$77,$A14,'Monthly Data'!$B$6:$B$77,$B$5))</x:f>
        <x:v>11394.77</x:v>
      </x:c>
      <x:c r="D14" s="13" t="n">
        <x:f>IF($B$5="All",SUMIFS('Monthly Data'!$D$6:$D$77,'Monthly Data'!$A$6:$A$77,$A14),SUMIFS('Monthly Data'!$D$6:$D$77,'Monthly Data'!$A$6:$A$77,$A14,'Monthly Data'!$B$6:$B$77,$B$5))</x:f>
        <x:v>31</x:v>
      </x:c>
      <x:c r="E14" s="13" t="n">
        <x:f>IF($B$5="All",SUMIFS('Monthly Data'!$C$6:$C$77,'Monthly Data'!$A$6:$A$77,$A14),SUMIFS('Monthly Data'!$C$6:$C$77,'Monthly Data'!$A$6:$A$77,$A14,'Monthly Data'!$B$6:$B$77,$B$5))</x:f>
        <x:v>376</x:v>
      </x:c>
      <x:c r="F14" s="18" t="n">
        <x:f>IF(B14=0,"n.a.",C14/B14)</x:f>
        <x:v>0.3311845864541462</x:v>
      </x:c>
      <x:c r="G14" s="18" t="n">
        <x:f>IF(E14=0,"n.a.",D14/E14)</x:f>
        <x:v>0.08244680851063829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10" t="d">
        <x:v>2024-03-01T00:00:00.000Z</x:v>
      </x:c>
      <x:c r="B15" s="14" t="n">
        <x:f>IF($B$5="All",SUMIFS('Monthly Data'!$E$6:$E$77,'Monthly Data'!$A$6:$A$77,$A15),SUMIFS('Monthly Data'!$E$6:$E$77,'Monthly Data'!$A$6:$A$77,$A15,'Monthly Data'!$B$6:$B$77,$B$5))</x:f>
        <x:v>41719.29</x:v>
      </x:c>
      <x:c r="C15" s="14" t="n">
        <x:f>IF($B$5="All",SUMIFS('Monthly Data'!$F$6:$F$77,'Monthly Data'!$A$6:$A$77,$A15),SUMIFS('Monthly Data'!$F$6:$F$77,'Monthly Data'!$A$6:$A$77,$A15,'Monthly Data'!$B$6:$B$77,$B$5))</x:f>
        <x:v>13667.84</x:v>
      </x:c>
      <x:c r="D15" s="13" t="n">
        <x:f>IF($B$5="All",SUMIFS('Monthly Data'!$D$6:$D$77,'Monthly Data'!$A$6:$A$77,$A15),SUMIFS('Monthly Data'!$D$6:$D$77,'Monthly Data'!$A$6:$A$77,$A15,'Monthly Data'!$B$6:$B$77,$B$5))</x:f>
        <x:v>43</x:v>
      </x:c>
      <x:c r="E15" s="13" t="n">
        <x:f>IF($B$5="All",SUMIFS('Monthly Data'!$C$6:$C$77,'Monthly Data'!$A$6:$A$77,$A15),SUMIFS('Monthly Data'!$C$6:$C$77,'Monthly Data'!$A$6:$A$77,$A15,'Monthly Data'!$B$6:$B$77,$B$5))</x:f>
        <x:v>466</x:v>
      </x:c>
      <x:c r="F15" s="18" t="n">
        <x:f>IF(B15=0,"n.a.",C15/B15)</x:f>
        <x:v>0.3276143961222734</x:v>
      </x:c>
      <x:c r="G15" s="18" t="n">
        <x:f>IF(E15=0,"n.a.",D15/E15)</x:f>
        <x:v>0.09227467811158799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10" t="d">
        <x:v>2024-04-01T00:00:00.000Z</x:v>
      </x:c>
      <x:c r="B16" s="14" t="n">
        <x:f>IF($B$5="All",SUMIFS('Monthly Data'!$E$6:$E$77,'Monthly Data'!$A$6:$A$77,$A16),SUMIFS('Monthly Data'!$E$6:$E$77,'Monthly Data'!$A$6:$A$77,$A16,'Monthly Data'!$B$6:$B$77,$B$5))</x:f>
        <x:v>49459.11</x:v>
      </x:c>
      <x:c r="C16" s="14" t="n">
        <x:f>IF($B$5="All",SUMIFS('Monthly Data'!$F$6:$F$77,'Monthly Data'!$A$6:$A$77,$A16),SUMIFS('Monthly Data'!$F$6:$F$77,'Monthly Data'!$A$6:$A$77,$A16,'Monthly Data'!$B$6:$B$77,$B$5))</x:f>
        <x:v>14980.82</x:v>
      </x:c>
      <x:c r="D16" s="13" t="n">
        <x:f>IF($B$5="All",SUMIFS('Monthly Data'!$D$6:$D$77,'Monthly Data'!$A$6:$A$77,$A16),SUMIFS('Monthly Data'!$D$6:$D$77,'Monthly Data'!$A$6:$A$77,$A16,'Monthly Data'!$B$6:$B$77,$B$5))</x:f>
        <x:v>55</x:v>
      </x:c>
      <x:c r="E16" s="13" t="n">
        <x:f>IF($B$5="All",SUMIFS('Monthly Data'!$C$6:$C$77,'Monthly Data'!$A$6:$A$77,$A16),SUMIFS('Monthly Data'!$C$6:$C$77,'Monthly Data'!$A$6:$A$77,$A16,'Monthly Data'!$B$6:$B$77,$B$5))</x:f>
        <x:v>538</x:v>
      </x:c>
      <x:c r="F16" s="18" t="n">
        <x:f>IF(B16=0,"n.a.",C16/B16)</x:f>
        <x:v>0.30289303628795583</x:v>
      </x:c>
      <x:c r="G16" s="18" t="n">
        <x:f>IF(E16=0,"n.a.",D16/E16)</x:f>
        <x:v>0.10223048327137546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10" t="d">
        <x:v>2024-05-01T00:00:00.000Z</x:v>
      </x:c>
      <x:c r="B17" s="14" t="n">
        <x:f>IF($B$5="All",SUMIFS('Monthly Data'!$E$6:$E$77,'Monthly Data'!$A$6:$A$77,$A17),SUMIFS('Monthly Data'!$E$6:$E$77,'Monthly Data'!$A$6:$A$77,$A17,'Monthly Data'!$B$6:$B$77,$B$5))</x:f>
        <x:v>62054.06</x:v>
      </x:c>
      <x:c r="C17" s="14" t="n">
        <x:f>IF($B$5="All",SUMIFS('Monthly Data'!$F$6:$F$77,'Monthly Data'!$A$6:$A$77,$A17),SUMIFS('Monthly Data'!$F$6:$F$77,'Monthly Data'!$A$6:$A$77,$A17,'Monthly Data'!$B$6:$B$77,$B$5))</x:f>
        <x:v>19663.55</x:v>
      </x:c>
      <x:c r="D17" s="13" t="n">
        <x:f>IF($B$5="All",SUMIFS('Monthly Data'!$D$6:$D$77,'Monthly Data'!$A$6:$A$77,$A17),SUMIFS('Monthly Data'!$D$6:$D$77,'Monthly Data'!$A$6:$A$77,$A17,'Monthly Data'!$B$6:$B$77,$B$5))</x:f>
        <x:v>71</x:v>
      </x:c>
      <x:c r="E17" s="13" t="n">
        <x:f>IF($B$5="All",SUMIFS('Monthly Data'!$C$6:$C$77,'Monthly Data'!$A$6:$A$77,$A17),SUMIFS('Monthly Data'!$C$6:$C$77,'Monthly Data'!$A$6:$A$77,$A17,'Monthly Data'!$B$6:$B$77,$B$5))</x:f>
        <x:v>694</x:v>
      </x:c>
      <x:c r="F17" s="18" t="n">
        <x:f>IF(B17=0,"n.a.",C17/B17)</x:f>
        <x:v>0.3168777353165933</x:v>
      </x:c>
      <x:c r="G17" s="18" t="n">
        <x:f>IF(E17=0,"n.a.",D17/E17)</x:f>
        <x:v>0.10230547550432277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10" t="d">
        <x:v>2024-06-01T00:00:00.000Z</x:v>
      </x:c>
      <x:c r="B18" s="14" t="n">
        <x:f>IF($B$5="All",SUMIFS('Monthly Data'!$E$6:$E$77,'Monthly Data'!$A$6:$A$77,$A18),SUMIFS('Monthly Data'!$E$6:$E$77,'Monthly Data'!$A$6:$A$77,$A18,'Monthly Data'!$B$6:$B$77,$B$5))</x:f>
        <x:v>74156.55</x:v>
      </x:c>
      <x:c r="C18" s="14" t="n">
        <x:f>IF($B$5="All",SUMIFS('Monthly Data'!$F$6:$F$77,'Monthly Data'!$A$6:$A$77,$A18),SUMIFS('Monthly Data'!$F$6:$F$77,'Monthly Data'!$A$6:$A$77,$A18,'Monthly Data'!$B$6:$B$77,$B$5))</x:f>
        <x:v>23124.32</x:v>
      </x:c>
      <x:c r="D18" s="13" t="n">
        <x:f>IF($B$5="All",SUMIFS('Monthly Data'!$D$6:$D$77,'Monthly Data'!$A$6:$A$77,$A18),SUMIFS('Monthly Data'!$D$6:$D$77,'Monthly Data'!$A$6:$A$77,$A18,'Monthly Data'!$B$6:$B$77,$B$5))</x:f>
        <x:v>53</x:v>
      </x:c>
      <x:c r="E18" s="13" t="n">
        <x:f>IF($B$5="All",SUMIFS('Monthly Data'!$C$6:$C$77,'Monthly Data'!$A$6:$A$77,$A18),SUMIFS('Monthly Data'!$C$6:$C$77,'Monthly Data'!$A$6:$A$77,$A18,'Monthly Data'!$B$6:$B$77,$B$5))</x:f>
        <x:v>780</x:v>
      </x:c>
      <x:c r="F18" s="18" t="n">
        <x:f>IF(B18=0,"n.a.",C18/B18)</x:f>
        <x:v>0.31183111943584213</x:v>
      </x:c>
      <x:c r="G18" s="18" t="n">
        <x:f>IF(E18=0,"n.a.",D18/E18)</x:f>
        <x:v>0.06794871794871794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5" customHeight="1">
      <x:c r="A19" s="10" t="d">
        <x:v>2024-07-01T00:00:00.000Z</x:v>
      </x:c>
      <x:c r="B19" s="14" t="n">
        <x:f>IF($B$5="All",SUMIFS('Monthly Data'!$E$6:$E$77,'Monthly Data'!$A$6:$A$77,$A19),SUMIFS('Monthly Data'!$E$6:$E$77,'Monthly Data'!$A$6:$A$77,$A19,'Monthly Data'!$B$6:$B$77,$B$5))</x:f>
        <x:v>82432.11</x:v>
      </x:c>
      <x:c r="C19" s="14" t="n">
        <x:f>IF($B$5="All",SUMIFS('Monthly Data'!$F$6:$F$77,'Monthly Data'!$A$6:$A$77,$A19),SUMIFS('Monthly Data'!$F$6:$F$77,'Monthly Data'!$A$6:$A$77,$A19,'Monthly Data'!$B$6:$B$77,$B$5))</x:f>
        <x:v>26255.16</x:v>
      </x:c>
      <x:c r="D19" s="13" t="n">
        <x:f>IF($B$5="All",SUMIFS('Monthly Data'!$D$6:$D$77,'Monthly Data'!$A$6:$A$77,$A19),SUMIFS('Monthly Data'!$D$6:$D$77,'Monthly Data'!$A$6:$A$77,$A19,'Monthly Data'!$B$6:$B$77,$B$5))</x:f>
        <x:v>73</x:v>
      </x:c>
      <x:c r="E19" s="13" t="n">
        <x:f>IF($B$5="All",SUMIFS('Monthly Data'!$C$6:$C$77,'Monthly Data'!$A$6:$A$77,$A19),SUMIFS('Monthly Data'!$C$6:$C$77,'Monthly Data'!$A$6:$A$77,$A19,'Monthly Data'!$B$6:$B$77,$B$5))</x:f>
        <x:v>879</x:v>
      </x:c>
      <x:c r="F19" s="18" t="n">
        <x:f>IF(B19=0,"n.a.",C19/B19)</x:f>
        <x:v>0.31850646550233885</x:v>
      </x:c>
      <x:c r="G19" s="18" t="n">
        <x:f>IF(E19=0,"n.a.",D19/E19)</x:f>
        <x:v>0.08304891922639362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10" t="d">
        <x:v>2024-08-01T00:00:00.000Z</x:v>
      </x:c>
      <x:c r="B20" s="14" t="n">
        <x:f>IF($B$5="All",SUMIFS('Monthly Data'!$E$6:$E$77,'Monthly Data'!$A$6:$A$77,$A20),SUMIFS('Monthly Data'!$E$6:$E$77,'Monthly Data'!$A$6:$A$77,$A20,'Monthly Data'!$B$6:$B$77,$B$5))</x:f>
        <x:v>91544.57</x:v>
      </x:c>
      <x:c r="C20" s="14" t="n">
        <x:f>IF($B$5="All",SUMIFS('Monthly Data'!$F$6:$F$77,'Monthly Data'!$A$6:$A$77,$A20),SUMIFS('Monthly Data'!$F$6:$F$77,'Monthly Data'!$A$6:$A$77,$A20,'Monthly Data'!$B$6:$B$77,$B$5))</x:f>
        <x:v>28431.82</x:v>
      </x:c>
      <x:c r="D20" s="13" t="n">
        <x:f>IF($B$5="All",SUMIFS('Monthly Data'!$D$6:$D$77,'Monthly Data'!$A$6:$A$77,$A20),SUMIFS('Monthly Data'!$D$6:$D$77,'Monthly Data'!$A$6:$A$77,$A20,'Monthly Data'!$B$6:$B$77,$B$5))</x:f>
        <x:v>78</x:v>
      </x:c>
      <x:c r="E20" s="13" t="n">
        <x:f>IF($B$5="All",SUMIFS('Monthly Data'!$C$6:$C$77,'Monthly Data'!$A$6:$A$77,$A20),SUMIFS('Monthly Data'!$C$6:$C$77,'Monthly Data'!$A$6:$A$77,$A20,'Monthly Data'!$B$6:$B$77,$B$5))</x:f>
        <x:v>961</x:v>
      </x:c>
      <x:c r="F20" s="18" t="n">
        <x:f>IF(B20=0,"n.a.",C20/B20)</x:f>
        <x:v>0.31057898901048964</x:v>
      </x:c>
      <x:c r="G20" s="18" t="n">
        <x:f>IF(E20=0,"n.a.",D20/E20)</x:f>
        <x:v>0.08116545265348596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10" t="d">
        <x:v>2024-09-01T00:00:00.000Z</x:v>
      </x:c>
      <x:c r="B21" s="14" t="n">
        <x:f>IF($B$5="All",SUMIFS('Monthly Data'!$E$6:$E$77,'Monthly Data'!$A$6:$A$77,$A21),SUMIFS('Monthly Data'!$E$6:$E$77,'Monthly Data'!$A$6:$A$77,$A21,'Monthly Data'!$B$6:$B$77,$B$5))</x:f>
        <x:v>96172.09</x:v>
      </x:c>
      <x:c r="C21" s="14" t="n">
        <x:f>IF($B$5="All",SUMIFS('Monthly Data'!$F$6:$F$77,'Monthly Data'!$A$6:$A$77,$A21),SUMIFS('Monthly Data'!$F$6:$F$77,'Monthly Data'!$A$6:$A$77,$A21,'Monthly Data'!$B$6:$B$77,$B$5))</x:f>
        <x:v>30314.559999999998</x:v>
      </x:c>
      <x:c r="D21" s="13" t="n">
        <x:f>IF($B$5="All",SUMIFS('Monthly Data'!$D$6:$D$77,'Monthly Data'!$A$6:$A$77,$A21),SUMIFS('Monthly Data'!$D$6:$D$77,'Monthly Data'!$A$6:$A$77,$A21,'Monthly Data'!$B$6:$B$77,$B$5))</x:f>
        <x:v>88</x:v>
      </x:c>
      <x:c r="E21" s="13" t="n">
        <x:f>IF($B$5="All",SUMIFS('Monthly Data'!$C$6:$C$77,'Monthly Data'!$A$6:$A$77,$A21),SUMIFS('Monthly Data'!$C$6:$C$77,'Monthly Data'!$A$6:$A$77,$A21,'Monthly Data'!$B$6:$B$77,$B$5))</x:f>
        <x:v>1032</x:v>
      </x:c>
      <x:c r="F21" s="18" t="n">
        <x:f>IF(B21=0,"n.a.",C21/B21)</x:f>
        <x:v>0.31521161700863526</x:v>
      </x:c>
      <x:c r="G21" s="18" t="n">
        <x:f>IF(E21=0,"n.a.",D21/E21)</x:f>
        <x:v>0.08527131782945736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10" t="d">
        <x:v>2024-10-01T00:00:00.000Z</x:v>
      </x:c>
      <x:c r="B22" s="14" t="n">
        <x:f>IF($B$5="All",SUMIFS('Monthly Data'!$E$6:$E$77,'Monthly Data'!$A$6:$A$77,$A22),SUMIFS('Monthly Data'!$E$6:$E$77,'Monthly Data'!$A$6:$A$77,$A22,'Monthly Data'!$B$6:$B$77,$B$5))</x:f>
        <x:v>105117.46999999999</x:v>
      </x:c>
      <x:c r="C22" s="14" t="n">
        <x:f>IF($B$5="All",SUMIFS('Monthly Data'!$F$6:$F$77,'Monthly Data'!$A$6:$A$77,$A22),SUMIFS('Monthly Data'!$F$6:$F$77,'Monthly Data'!$A$6:$A$77,$A22,'Monthly Data'!$B$6:$B$77,$B$5))</x:f>
        <x:v>33635.86</x:v>
      </x:c>
      <x:c r="D22" s="13" t="n">
        <x:f>IF($B$5="All",SUMIFS('Monthly Data'!$D$6:$D$77,'Monthly Data'!$A$6:$A$77,$A22),SUMIFS('Monthly Data'!$D$6:$D$77,'Monthly Data'!$A$6:$A$77,$A22,'Monthly Data'!$B$6:$B$77,$B$5))</x:f>
        <x:v>96</x:v>
      </x:c>
      <x:c r="E22" s="13" t="n">
        <x:f>IF($B$5="All",SUMIFS('Monthly Data'!$C$6:$C$77,'Monthly Data'!$A$6:$A$77,$A22),SUMIFS('Monthly Data'!$C$6:$C$77,'Monthly Data'!$A$6:$A$77,$A22,'Monthly Data'!$B$6:$B$77,$B$5))</x:f>
        <x:v>1133</x:v>
      </x:c>
      <x:c r="F22" s="18" t="n">
        <x:f>IF(B22=0,"n.a.",C22/B22)</x:f>
        <x:v>0.31998353841659244</x:v>
      </x:c>
      <x:c r="G22" s="18" t="n">
        <x:f>IF(E22=0,"n.a.",D22/E22)</x:f>
        <x:v>0.08473080317740513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5" customHeight="1">
      <x:c r="A23" s="10" t="d">
        <x:v>2024-11-01T00:00:00.000Z</x:v>
      </x:c>
      <x:c r="B23" s="14" t="n">
        <x:f>IF($B$5="All",SUMIFS('Monthly Data'!$E$6:$E$77,'Monthly Data'!$A$6:$A$77,$A23),SUMIFS('Monthly Data'!$E$6:$E$77,'Monthly Data'!$A$6:$A$77,$A23,'Monthly Data'!$B$6:$B$77,$B$5))</x:f>
        <x:v>86495.54000000001</x:v>
      </x:c>
      <x:c r="C23" s="14" t="n">
        <x:f>IF($B$5="All",SUMIFS('Monthly Data'!$F$6:$F$77,'Monthly Data'!$A$6:$A$77,$A23),SUMIFS('Monthly Data'!$F$6:$F$77,'Monthly Data'!$A$6:$A$77,$A23,'Monthly Data'!$B$6:$B$77,$B$5))</x:f>
        <x:v>26399.719999999998</x:v>
      </x:c>
      <x:c r="D23" s="13" t="n">
        <x:f>IF($B$5="All",SUMIFS('Monthly Data'!$D$6:$D$77,'Monthly Data'!$A$6:$A$77,$A23),SUMIFS('Monthly Data'!$D$6:$D$77,'Monthly Data'!$A$6:$A$77,$A23,'Monthly Data'!$B$6:$B$77,$B$5))</x:f>
        <x:v>100</x:v>
      </x:c>
      <x:c r="E23" s="13" t="n">
        <x:f>IF($B$5="All",SUMIFS('Monthly Data'!$C$6:$C$77,'Monthly Data'!$A$6:$A$77,$A23),SUMIFS('Monthly Data'!$C$6:$C$77,'Monthly Data'!$A$6:$A$77,$A23,'Monthly Data'!$B$6:$B$77,$B$5))</x:f>
        <x:v>952</x:v>
      </x:c>
      <x:c r="F23" s="18" t="n">
        <x:f>IF(B23=0,"n.a.",C23/B23)</x:f>
        <x:v>0.30521481223193697</x:v>
      </x:c>
      <x:c r="G23" s="18" t="n">
        <x:f>IF(E23=0,"n.a.",D23/E23)</x:f>
        <x:v>0.10504201680672269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5" customHeight="1">
      <x:c r="A24" s="10" t="d">
        <x:v>2024-12-01T00:00:00.000Z</x:v>
      </x:c>
      <x:c r="B24" s="14" t="n">
        <x:f>IF($B$5="All",SUMIFS('Monthly Data'!$E$6:$E$77,'Monthly Data'!$A$6:$A$77,$A24),SUMIFS('Monthly Data'!$E$6:$E$77,'Monthly Data'!$A$6:$A$77,$A24,'Monthly Data'!$B$6:$B$77,$B$5))</x:f>
        <x:v>83883.58</x:v>
      </x:c>
      <x:c r="C24" s="14" t="n">
        <x:f>IF($B$5="All",SUMIFS('Monthly Data'!$F$6:$F$77,'Monthly Data'!$A$6:$A$77,$A24),SUMIFS('Monthly Data'!$F$6:$F$77,'Monthly Data'!$A$6:$A$77,$A24,'Monthly Data'!$B$6:$B$77,$B$5))</x:f>
        <x:v>25697.730000000003</x:v>
      </x:c>
      <x:c r="D24" s="13" t="n">
        <x:f>IF($B$5="All",SUMIFS('Monthly Data'!$D$6:$D$77,'Monthly Data'!$A$6:$A$77,$A24),SUMIFS('Monthly Data'!$D$6:$D$77,'Monthly Data'!$A$6:$A$77,$A24,'Monthly Data'!$B$6:$B$77,$B$5))</x:f>
        <x:v>90</x:v>
      </x:c>
      <x:c r="E24" s="13" t="n">
        <x:f>IF($B$5="All",SUMIFS('Monthly Data'!$C$6:$C$77,'Monthly Data'!$A$6:$A$77,$A24),SUMIFS('Monthly Data'!$C$6:$C$77,'Monthly Data'!$A$6:$A$77,$A24,'Monthly Data'!$B$6:$B$77,$B$5))</x:f>
        <x:v>911</x:v>
      </x:c>
      <x:c r="F24" s="18" t="n">
        <x:f>IF(B24=0,"n.a.",C24/B24)</x:f>
        <x:v>0.30634994357656176</x:v>
      </x:c>
      <x:c r="G24" s="18" t="n">
        <x:f>IF(E24=0,"n.a.",D24/E24)</x:f>
        <x:v>0.09879253567508232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5" customHeight="1">
      <x:c r="A25" s="10" t="d">
        <x:v>2025-01-01T00:00:00.000Z</x:v>
      </x:c>
      <x:c r="B25" s="14" t="n">
        <x:f>IF($B$5="All",SUMIFS('Monthly Data'!$E$6:$E$77,'Monthly Data'!$A$6:$A$77,$A25),SUMIFS('Monthly Data'!$E$6:$E$77,'Monthly Data'!$A$6:$A$77,$A25,'Monthly Data'!$B$6:$B$77,$B$5))</x:f>
        <x:v>83209.28</x:v>
      </x:c>
      <x:c r="C25" s="14" t="n">
        <x:f>IF($B$5="All",SUMIFS('Monthly Data'!$F$6:$F$77,'Monthly Data'!$A$6:$A$77,$A25),SUMIFS('Monthly Data'!$F$6:$F$77,'Monthly Data'!$A$6:$A$77,$A25,'Monthly Data'!$B$6:$B$77,$B$5))</x:f>
        <x:v>26190.79</x:v>
      </x:c>
      <x:c r="D25" s="13" t="n">
        <x:f>IF($B$5="All",SUMIFS('Monthly Data'!$D$6:$D$77,'Monthly Data'!$A$6:$A$77,$A25),SUMIFS('Monthly Data'!$D$6:$D$77,'Monthly Data'!$A$6:$A$77,$A25,'Monthly Data'!$B$6:$B$77,$B$5))</x:f>
        <x:v>81</x:v>
      </x:c>
      <x:c r="E25" s="13" t="n">
        <x:f>IF($B$5="All",SUMIFS('Monthly Data'!$C$6:$C$77,'Monthly Data'!$A$6:$A$77,$A25),SUMIFS('Monthly Data'!$C$6:$C$77,'Monthly Data'!$A$6:$A$77,$A25,'Monthly Data'!$B$6:$B$77,$B$5))</x:f>
        <x:v>895</x:v>
      </x:c>
      <x:c r="F25" s="18" t="n">
        <x:f>IF(B25=0,"n.a.",C25/B25)</x:f>
        <x:v>0.31475804141076574</x:v>
      </x:c>
      <x:c r="G25" s="18" t="n">
        <x:f>IF(E25=0,"n.a.",D25/E25)</x:f>
        <x:v>0.09050279329608939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5" customHeight="1">
      <x:c r="A26" s="10" t="d">
        <x:v>2025-02-01T00:00:00.000Z</x:v>
      </x:c>
      <x:c r="B26" s="14" t="n">
        <x:f>IF($B$5="All",SUMIFS('Monthly Data'!$E$6:$E$77,'Monthly Data'!$A$6:$A$77,$A26),SUMIFS('Monthly Data'!$E$6:$E$77,'Monthly Data'!$A$6:$A$77,$A26,'Monthly Data'!$B$6:$B$77,$B$5))</x:f>
        <x:v>76916.47</x:v>
      </x:c>
      <x:c r="C26" s="14" t="n">
        <x:f>IF($B$5="All",SUMIFS('Monthly Data'!$F$6:$F$77,'Monthly Data'!$A$6:$A$77,$A26),SUMIFS('Monthly Data'!$F$6:$F$77,'Monthly Data'!$A$6:$A$77,$A26,'Monthly Data'!$B$6:$B$77,$B$5))</x:f>
        <x:v>24554.18</x:v>
      </x:c>
      <x:c r="D26" s="13" t="n">
        <x:f>IF($B$5="All",SUMIFS('Monthly Data'!$D$6:$D$77,'Monthly Data'!$A$6:$A$77,$A26),SUMIFS('Monthly Data'!$D$6:$D$77,'Monthly Data'!$A$6:$A$77,$A26,'Monthly Data'!$B$6:$B$77,$B$5))</x:f>
        <x:v>92</x:v>
      </x:c>
      <x:c r="E26" s="13" t="n">
        <x:f>IF($B$5="All",SUMIFS('Monthly Data'!$C$6:$C$77,'Monthly Data'!$A$6:$A$77,$A26),SUMIFS('Monthly Data'!$C$6:$C$77,'Monthly Data'!$A$6:$A$77,$A26,'Monthly Data'!$B$6:$B$77,$B$5))</x:f>
        <x:v>851</x:v>
      </x:c>
      <x:c r="F26" s="18" t="n">
        <x:f>IF(B26=0,"n.a.",C26/B26)</x:f>
        <x:v>0.3192317588157647</x:v>
      </x:c>
      <x:c r="G26" s="18" t="n">
        <x:f>IF(E26=0,"n.a.",D26/E26)</x:f>
        <x:v>0.10810810810810811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10" t="d">
        <x:v>2025-03-01T00:00:00.000Z</x:v>
      </x:c>
      <x:c r="B27" s="14" t="n">
        <x:f>IF($B$5="All",SUMIFS('Monthly Data'!$E$6:$E$77,'Monthly Data'!$A$6:$A$77,$A27),SUMIFS('Monthly Data'!$E$6:$E$77,'Monthly Data'!$A$6:$A$77,$A27,'Monthly Data'!$B$6:$B$77,$B$5))</x:f>
        <x:v>79362.94</x:v>
      </x:c>
      <x:c r="C27" s="14" t="n">
        <x:f>IF($B$5="All",SUMIFS('Monthly Data'!$F$6:$F$77,'Monthly Data'!$A$6:$A$77,$A27),SUMIFS('Monthly Data'!$F$6:$F$77,'Monthly Data'!$A$6:$A$77,$A27,'Monthly Data'!$B$6:$B$77,$B$5))</x:f>
        <x:v>24247.53</x:v>
      </x:c>
      <x:c r="D27" s="13" t="n">
        <x:f>IF($B$5="All",SUMIFS('Monthly Data'!$D$6:$D$77,'Monthly Data'!$A$6:$A$77,$A27),SUMIFS('Monthly Data'!$D$6:$D$77,'Monthly Data'!$A$6:$A$77,$A27,'Monthly Data'!$B$6:$B$77,$B$5))</x:f>
        <x:v>92</x:v>
      </x:c>
      <x:c r="E27" s="13" t="n">
        <x:f>IF($B$5="All",SUMIFS('Monthly Data'!$C$6:$C$77,'Monthly Data'!$A$6:$A$77,$A27),SUMIFS('Monthly Data'!$C$6:$C$77,'Monthly Data'!$A$6:$A$77,$A27,'Monthly Data'!$B$6:$B$77,$B$5))</x:f>
        <x:v>875</x:v>
      </x:c>
      <x:c r="F27" s="18" t="n">
        <x:f>IF(B27=0,"n.a.",C27/B27)</x:f>
        <x:v>0.30552711378887926</x:v>
      </x:c>
      <x:c r="G27" s="18" t="n">
        <x:f>IF(E27=0,"n.a.",D27/E27)</x:f>
        <x:v>0.10514285714285715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10" t="d">
        <x:v>2025-04-01T00:00:00.000Z</x:v>
      </x:c>
      <x:c r="B28" s="14" t="n">
        <x:f>IF($B$5="All",SUMIFS('Monthly Data'!$E$6:$E$77,'Monthly Data'!$A$6:$A$77,$A28),SUMIFS('Monthly Data'!$E$6:$E$77,'Monthly Data'!$A$6:$A$77,$A28,'Monthly Data'!$B$6:$B$77,$B$5))</x:f>
        <x:v>71021.87000000001</x:v>
      </x:c>
      <x:c r="C28" s="14" t="n">
        <x:f>IF($B$5="All",SUMIFS('Monthly Data'!$F$6:$F$77,'Monthly Data'!$A$6:$A$77,$A28),SUMIFS('Monthly Data'!$F$6:$F$77,'Monthly Data'!$A$6:$A$77,$A28,'Monthly Data'!$B$6:$B$77,$B$5))</x:f>
        <x:v>22948.629999999997</x:v>
      </x:c>
      <x:c r="D28" s="13" t="n">
        <x:f>IF($B$5="All",SUMIFS('Monthly Data'!$D$6:$D$77,'Monthly Data'!$A$6:$A$77,$A28),SUMIFS('Monthly Data'!$D$6:$D$77,'Monthly Data'!$A$6:$A$77,$A28,'Monthly Data'!$B$6:$B$77,$B$5))</x:f>
        <x:v>71</x:v>
      </x:c>
      <x:c r="E28" s="13" t="n">
        <x:f>IF($B$5="All",SUMIFS('Monthly Data'!$C$6:$C$77,'Monthly Data'!$A$6:$A$77,$A28),SUMIFS('Monthly Data'!$C$6:$C$77,'Monthly Data'!$A$6:$A$77,$A28,'Monthly Data'!$B$6:$B$77,$B$5))</x:f>
        <x:v>817</x:v>
      </x:c>
      <x:c r="F28" s="18" t="n">
        <x:f>IF(B28=0,"n.a.",C28/B28)</x:f>
        <x:v>0.32312061059501807</x:v>
      </x:c>
      <x:c r="G28" s="18" t="n">
        <x:f>IF(E28=0,"n.a.",D28/E28)</x:f>
        <x:v>0.08690330477356181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5" customHeight="1">
      <x:c r="A29" s="10" t="d">
        <x:v>2025-05-01T00:00:00.000Z</x:v>
      </x:c>
      <x:c r="B29" s="14" t="n">
        <x:f>IF($B$5="All",SUMIFS('Monthly Data'!$E$6:$E$77,'Monthly Data'!$A$6:$A$77,$A29),SUMIFS('Monthly Data'!$E$6:$E$77,'Monthly Data'!$A$6:$A$77,$A29,'Monthly Data'!$B$6:$B$77,$B$5))</x:f>
        <x:v>69875.72</x:v>
      </x:c>
      <x:c r="C29" s="14" t="n">
        <x:f>IF($B$5="All",SUMIFS('Monthly Data'!$F$6:$F$77,'Monthly Data'!$A$6:$A$77,$A29),SUMIFS('Monthly Data'!$F$6:$F$77,'Monthly Data'!$A$6:$A$77,$A29,'Monthly Data'!$B$6:$B$77,$B$5))</x:f>
        <x:v>22604.120000000003</x:v>
      </x:c>
      <x:c r="D29" s="13" t="n">
        <x:f>IF($B$5="All",SUMIFS('Monthly Data'!$D$6:$D$77,'Monthly Data'!$A$6:$A$77,$A29),SUMIFS('Monthly Data'!$D$6:$D$77,'Monthly Data'!$A$6:$A$77,$A29,'Monthly Data'!$B$6:$B$77,$B$5))</x:f>
        <x:v>65</x:v>
      </x:c>
      <x:c r="E29" s="13" t="n">
        <x:f>IF($B$5="All",SUMIFS('Monthly Data'!$C$6:$C$77,'Monthly Data'!$A$6:$A$77,$A29),SUMIFS('Monthly Data'!$C$6:$C$77,'Monthly Data'!$A$6:$A$77,$A29,'Monthly Data'!$B$6:$B$77,$B$5))</x:f>
        <x:v>750</x:v>
      </x:c>
      <x:c r="F29" s="18" t="n">
        <x:f>IF(B29=0,"n.a.",C29/B29)</x:f>
        <x:v>0.3234903339815318</x:v>
      </x:c>
      <x:c r="G29" s="18" t="n">
        <x:f>IF(E29=0,"n.a.",D29/E29)</x:f>
        <x:v>0.08666666666666667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5" customHeight="1">
      <x:c r="A30" s="10" t="d">
        <x:v>2025-06-01T00:00:00.000Z</x:v>
      </x:c>
      <x:c r="B30" s="14" t="n">
        <x:f>IF($B$5="All",SUMIFS('Monthly Data'!$E$6:$E$77,'Monthly Data'!$A$6:$A$77,$A30),SUMIFS('Monthly Data'!$E$6:$E$77,'Monthly Data'!$A$6:$A$77,$A30,'Monthly Data'!$B$6:$B$77,$B$5))</x:f>
        <x:v>62053.71</x:v>
      </x:c>
      <x:c r="C30" s="14" t="n">
        <x:f>IF($B$5="All",SUMIFS('Monthly Data'!$F$6:$F$77,'Monthly Data'!$A$6:$A$77,$A30),SUMIFS('Monthly Data'!$F$6:$F$77,'Monthly Data'!$A$6:$A$77,$A30,'Monthly Data'!$B$6:$B$77,$B$5))</x:f>
        <x:v>19328</x:v>
      </x:c>
      <x:c r="D30" s="13" t="n">
        <x:f>IF($B$5="All",SUMIFS('Monthly Data'!$D$6:$D$77,'Monthly Data'!$A$6:$A$77,$A30),SUMIFS('Monthly Data'!$D$6:$D$77,'Monthly Data'!$A$6:$A$77,$A30,'Monthly Data'!$B$6:$B$77,$B$5))</x:f>
        <x:v>67</x:v>
      </x:c>
      <x:c r="E30" s="13" t="n">
        <x:f>IF($B$5="All",SUMIFS('Monthly Data'!$C$6:$C$77,'Monthly Data'!$A$6:$A$77,$A30),SUMIFS('Monthly Data'!$C$6:$C$77,'Monthly Data'!$A$6:$A$77,$A30,'Monthly Data'!$B$6:$B$77,$B$5))</x:f>
        <x:v>697</x:v>
      </x:c>
      <x:c r="F30" s="18" t="n">
        <x:f>IF(B30=0,"n.a.",C30/B30)</x:f>
        <x:v>0.3114721102090431</x:v>
      </x:c>
      <x:c r="G30" s="18" t="n">
        <x:f>IF(E30=0,"n.a.",D30/E30)</x:f>
        <x:v>0.09612625538020086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 t="str">
        <x:v>Month</x:v>
      </x:c>
      <x:c r="B34" s="2" t="str">
        <x:v>Net revenue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 t="str">
        <x:f>TEXT(A13,"mmm yy")</x:f>
        <x:v>Jan 24</x:v>
      </x:c>
      <x:c r="B35" s="14" t="n">
        <x:f>B13</x:f>
        <x:v>25467.8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 t="str">
        <x:f>TEXT(A14,"mmm yy")</x:f>
        <x:v>Feb 24</x:v>
      </x:c>
      <x:c r="B36" s="14" t="n">
        <x:f>B14</x:f>
        <x:v>34406.1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 t="str">
        <x:f>TEXT(A15,"mmm yy")</x:f>
        <x:v>Mar 24</x:v>
      </x:c>
      <x:c r="B37" s="14" t="n">
        <x:f>B15</x:f>
        <x:v>41719.29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 t="str">
        <x:f>TEXT(A16,"mmm yy")</x:f>
        <x:v>Apr 24</x:v>
      </x:c>
      <x:c r="B38" s="14" t="n">
        <x:f>B16</x:f>
        <x:v>49459.11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 t="str">
        <x:f>TEXT(A17,"mmm yy")</x:f>
        <x:v>May 24</x:v>
      </x:c>
      <x:c r="B39" s="14" t="n">
        <x:f>B17</x:f>
        <x:v>62054.06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 t="str">
        <x:f>TEXT(A18,"mmm yy")</x:f>
        <x:v>Jun 24</x:v>
      </x:c>
      <x:c r="B40" s="14" t="n">
        <x:f>B18</x:f>
        <x:v>74156.55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 t="str">
        <x:f>TEXT(A19,"mmm yy")</x:f>
        <x:v>Jul 24</x:v>
      </x:c>
      <x:c r="B41" s="14" t="n">
        <x:f>B19</x:f>
        <x:v>82432.11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 t="str">
        <x:f>TEXT(A20,"mmm yy")</x:f>
        <x:v>Aug 24</x:v>
      </x:c>
      <x:c r="B42" s="14" t="n">
        <x:f>B20</x:f>
        <x:v>91544.57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 t="str">
        <x:f>TEXT(A21,"mmm yy")</x:f>
        <x:v>Sep 24</x:v>
      </x:c>
      <x:c r="B43" s="14" t="n">
        <x:f>B21</x:f>
        <x:v>96172.09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 t="str">
        <x:f>TEXT(A22,"mmm yy")</x:f>
        <x:v>Oct 24</x:v>
      </x:c>
      <x:c r="B44" s="14" t="n">
        <x:f>B22</x:f>
        <x:v>105117.46999999999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 t="str">
        <x:f>TEXT(A23,"mmm yy")</x:f>
        <x:v>Nov 24</x:v>
      </x:c>
      <x:c r="B45" s="14" t="n">
        <x:f>B23</x:f>
        <x:v>86495.54000000001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 t="str">
        <x:f>TEXT(A24,"mmm yy")</x:f>
        <x:v>Dec 24</x:v>
      </x:c>
      <x:c r="B46" s="14" t="n">
        <x:f>B24</x:f>
        <x:v>83883.58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 t="str">
        <x:f>TEXT(A25,"mmm yy")</x:f>
        <x:v>Jan 25</x:v>
      </x:c>
      <x:c r="B47" s="14" t="n">
        <x:f>B25</x:f>
        <x:v>83209.28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 t="str">
        <x:f>TEXT(A26,"mmm yy")</x:f>
        <x:v>Feb 25</x:v>
      </x:c>
      <x:c r="B48" s="14" t="n">
        <x:f>B26</x:f>
        <x:v>76916.47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t="str">
        <x:f>TEXT(A27,"mmm yy")</x:f>
        <x:v>Mar 25</x:v>
      </x:c>
      <x:c r="B49" s="22" t="n">
        <x:f>B27</x:f>
        <x:v>79362.94</x:v>
      </x:c>
    </x:row>
    <x:row r="50">
      <x:c r="A50" t="str">
        <x:f>TEXT(A28,"mmm yy")</x:f>
        <x:v>Apr 25</x:v>
      </x:c>
      <x:c r="B50" s="22" t="n">
        <x:f>B28</x:f>
        <x:v>71021.87000000001</x:v>
      </x:c>
    </x:row>
    <x:row r="51">
      <x:c r="A51" t="str">
        <x:f>TEXT(A29,"mmm yy")</x:f>
        <x:v>May 25</x:v>
      </x:c>
      <x:c r="B51" s="22" t="n">
        <x:f>B29</x:f>
        <x:v>69875.72</x:v>
      </x:c>
    </x:row>
    <x:row r="52">
      <x:c r="A52" t="str">
        <x:f>TEXT(A30,"mmm yy")</x:f>
        <x:v>Jun 25</x:v>
      </x:c>
      <x:c r="B52" s="22" t="n">
        <x:f>B30</x:f>
        <x:v>62053.71</x:v>
      </x:c>
    </x:row>
    <x:row r="54" ht="27" customHeight="1">
      <x:c r="A54" s="25" t="str">
        <x:v>Segment</x:v>
      </x:c>
      <x:c r="B54" s="25" t="str">
        <x:v>Net revenue</x:v>
      </x:c>
    </x:row>
    <x:row r="55">
      <x:c r="A55" t="str">
        <x:v>East</x:v>
      </x:c>
      <x:c r="B55" s="22" t="n">
        <x:f>IF(A55="All",SUMIFS('Monthly Data'!$E$6:$E$77),SUMIFS('Monthly Data'!$E$6:$E$77,'Monthly Data'!$B$6:$B$77,A55))</x:f>
        <x:v>340411.26000000007</x:v>
      </x:c>
    </x:row>
    <x:row r="56">
      <x:c r="A56" t="str">
        <x:v>North</x:v>
      </x:c>
      <x:c r="B56" s="22" t="n">
        <x:f>IF(A56="All",SUMIFS('Monthly Data'!$E$6:$E$77),SUMIFS('Monthly Data'!$E$6:$E$77,'Monthly Data'!$B$6:$B$77,A56))</x:f>
        <x:v>307140.05</x:v>
      </x:c>
    </x:row>
    <x:row r="57">
      <x:c r="A57" t="str">
        <x:v>South</x:v>
      </x:c>
      <x:c r="B57" s="22" t="n">
        <x:f>IF(A57="All",SUMIFS('Monthly Data'!$E$6:$E$77),SUMIFS('Monthly Data'!$E$6:$E$77,'Monthly Data'!$B$6:$B$77,A57))</x:f>
        <x:v>302293.13</x:v>
      </x:c>
    </x:row>
    <x:row r="58">
      <x:c r="A58" t="str">
        <x:v>West</x:v>
      </x:c>
      <x:c r="B58" s="22" t="n">
        <x:f>IF(A58="All",SUMIFS('Monthly Data'!$E$6:$E$77),SUMIFS('Monthly Data'!$E$6:$E$77,'Monthly Data'!$B$6:$B$77,A58))</x:f>
        <x:v>325503.82</x:v>
      </x:c>
    </x:row>
  </x:sheetData>
  <x:dataValidations count="1">
    <x:dataValidation type="list" sqref="B5">
      <x:formula1>"All,East,North,South,West"</x:formula1>
    </x:dataValidation>
  </x:dataValidations>
  <x:pageMargins left="0.7" right="0.7" top="0.75" bottom="0.75" header="0.3" footer="0.3"/>
  <x:drawing xmlns:r="http://schemas.openxmlformats.org/officeDocument/2006/relationships" r:id="R86d870802d6a400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30" customHeight="1">
      <x:c r="A2" s="3" t="str">
        <x:v>Monthly source data</x:v>
      </x:c>
      <x:c r="B2" s="2"/>
      <x:c r="C2" s="2"/>
      <x:c r="D2" s="2"/>
      <x:c r="E2" s="2"/>
      <x:c r="F2" s="2"/>
    </x:row>
    <x:row r="3" ht="22" customHeight="1">
      <x:c r="A3" s="4" t="str">
        <x:v>Source: outputs/monthly_kpis.csv. Synthetic data. One row per month and segment.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40" customHeight="1">
      <x:c r="A5" s="12" t="str">
        <x:v>month</x:v>
      </x:c>
      <x:c r="B5" s="12" t="str">
        <x:v>segment</x:v>
      </x:c>
      <x:c r="C5" s="12" t="str">
        <x:v>orders</x:v>
      </x:c>
      <x:c r="D5" s="12" t="str">
        <x:v>returns</x:v>
      </x:c>
      <x:c r="E5" s="12" t="str">
        <x:v>revenue</x:v>
      </x:c>
      <x:c r="F5" s="12" t="str">
        <x:v>profit</x:v>
      </x:c>
    </x:row>
    <x:row r="6" ht="22" customHeight="1">
      <x:c r="A6" s="10" t="d">
        <x:v>2024-01-01T00:00:00.000Z</x:v>
      </x:c>
      <x:c r="B6" s="2" t="str">
        <x:v>East</x:v>
      </x:c>
      <x:c r="C6" s="13" t="n">
        <x:v>65</x:v>
      </x:c>
      <x:c r="D6" s="13" t="n">
        <x:v>6</x:v>
      </x:c>
      <x:c r="E6" s="14" t="n">
        <x:v>5108.13</x:v>
      </x:c>
      <x:c r="F6" s="14" t="n">
        <x:v>1763.79</x:v>
      </x:c>
    </x:row>
    <x:row r="7" ht="22" customHeight="1">
      <x:c r="A7" s="10" t="d">
        <x:v>2024-01-01T00:00:00.000Z</x:v>
      </x:c>
      <x:c r="B7" s="2" t="str">
        <x:v>North</x:v>
      </x:c>
      <x:c r="C7" s="13" t="n">
        <x:v>69</x:v>
      </x:c>
      <x:c r="D7" s="13" t="n">
        <x:v>7</x:v>
      </x:c>
      <x:c r="E7" s="14" t="n">
        <x:v>6659.47</x:v>
      </x:c>
      <x:c r="F7" s="14" t="n">
        <x:v>2065.32</x:v>
      </x:c>
    </x:row>
    <x:row r="8" ht="22" customHeight="1">
      <x:c r="A8" s="10" t="d">
        <x:v>2024-01-01T00:00:00.000Z</x:v>
      </x:c>
      <x:c r="B8" s="2" t="str">
        <x:v>South</x:v>
      </x:c>
      <x:c r="C8" s="13" t="n">
        <x:v>73</x:v>
      </x:c>
      <x:c r="D8" s="13" t="n">
        <x:v>7</x:v>
      </x:c>
      <x:c r="E8" s="14" t="n">
        <x:v>5897.29</x:v>
      </x:c>
      <x:c r="F8" s="14" t="n">
        <x:v>2108.26</x:v>
      </x:c>
    </x:row>
    <x:row r="9" ht="22" customHeight="1">
      <x:c r="A9" s="10" t="d">
        <x:v>2024-01-01T00:00:00.000Z</x:v>
      </x:c>
      <x:c r="B9" s="2" t="str">
        <x:v>West</x:v>
      </x:c>
      <x:c r="C9" s="13" t="n">
        <x:v>85</x:v>
      </x:c>
      <x:c r="D9" s="13" t="n">
        <x:v>6</x:v>
      </x:c>
      <x:c r="E9" s="14" t="n">
        <x:v>7802.91</x:v>
      </x:c>
      <x:c r="F9" s="14" t="n">
        <x:v>2462.97</x:v>
      </x:c>
    </x:row>
    <x:row r="10" ht="22" customHeight="1">
      <x:c r="A10" s="10" t="d">
        <x:v>2024-02-01T00:00:00.000Z</x:v>
      </x:c>
      <x:c r="B10" s="2" t="str">
        <x:v>East</x:v>
      </x:c>
      <x:c r="C10" s="13" t="n">
        <x:v>110</x:v>
      </x:c>
      <x:c r="D10" s="13" t="n">
        <x:v>11</x:v>
      </x:c>
      <x:c r="E10" s="14" t="n">
        <x:v>10524.59</x:v>
      </x:c>
      <x:c r="F10" s="14" t="n">
        <x:v>3206.53</x:v>
      </x:c>
    </x:row>
    <x:row r="11" ht="22" customHeight="1">
      <x:c r="A11" s="10" t="d">
        <x:v>2024-02-01T00:00:00.000Z</x:v>
      </x:c>
      <x:c r="B11" s="2" t="str">
        <x:v>North</x:v>
      </x:c>
      <x:c r="C11" s="13" t="n">
        <x:v>95</x:v>
      </x:c>
      <x:c r="D11" s="13" t="n">
        <x:v>4</x:v>
      </x:c>
      <x:c r="E11" s="14" t="n">
        <x:v>8485.01</x:v>
      </x:c>
      <x:c r="F11" s="14" t="n">
        <x:v>3031.44</x:v>
      </x:c>
    </x:row>
    <x:row r="12" ht="22" customHeight="1">
      <x:c r="A12" s="10" t="d">
        <x:v>2024-02-01T00:00:00.000Z</x:v>
      </x:c>
      <x:c r="B12" s="2" t="str">
        <x:v>South</x:v>
      </x:c>
      <x:c r="C12" s="13" t="n">
        <x:v>74</x:v>
      </x:c>
      <x:c r="D12" s="13" t="n">
        <x:v>7</x:v>
      </x:c>
      <x:c r="E12" s="14" t="n">
        <x:v>7254.66</x:v>
      </x:c>
      <x:c r="F12" s="14" t="n">
        <x:v>2239.07</x:v>
      </x:c>
    </x:row>
    <x:row r="13" ht="22" customHeight="1">
      <x:c r="A13" s="10" t="d">
        <x:v>2024-02-01T00:00:00.000Z</x:v>
      </x:c>
      <x:c r="B13" s="2" t="str">
        <x:v>West</x:v>
      </x:c>
      <x:c r="C13" s="13" t="n">
        <x:v>97</x:v>
      </x:c>
      <x:c r="D13" s="13" t="n">
        <x:v>9</x:v>
      </x:c>
      <x:c r="E13" s="14" t="n">
        <x:v>8141.84</x:v>
      </x:c>
      <x:c r="F13" s="14" t="n">
        <x:v>2917.73</x:v>
      </x:c>
    </x:row>
    <x:row r="14" ht="22" customHeight="1">
      <x:c r="A14" s="10" t="d">
        <x:v>2024-03-01T00:00:00.000Z</x:v>
      </x:c>
      <x:c r="B14" s="2" t="str">
        <x:v>East</x:v>
      </x:c>
      <x:c r="C14" s="13" t="n">
        <x:v>99</x:v>
      </x:c>
      <x:c r="D14" s="13" t="n">
        <x:v>8</x:v>
      </x:c>
      <x:c r="E14" s="14" t="n">
        <x:v>8966.45</x:v>
      </x:c>
      <x:c r="F14" s="14" t="n">
        <x:v>2932.31</x:v>
      </x:c>
    </x:row>
    <x:row r="15" ht="22" customHeight="1">
      <x:c r="A15" s="10" t="d">
        <x:v>2024-03-01T00:00:00.000Z</x:v>
      </x:c>
      <x:c r="B15" s="2" t="str">
        <x:v>North</x:v>
      </x:c>
      <x:c r="C15" s="13" t="n">
        <x:v>119</x:v>
      </x:c>
      <x:c r="D15" s="13" t="n">
        <x:v>10</x:v>
      </x:c>
      <x:c r="E15" s="14" t="n">
        <x:v>11027.54</x:v>
      </x:c>
      <x:c r="F15" s="14" t="n">
        <x:v>3544.4</x:v>
      </x:c>
    </x:row>
    <x:row r="16" ht="22" customHeight="1">
      <x:c r="A16" s="10" t="d">
        <x:v>2024-03-01T00:00:00.000Z</x:v>
      </x:c>
      <x:c r="B16" s="2" t="str">
        <x:v>South</x:v>
      </x:c>
      <x:c r="C16" s="13" t="n">
        <x:v>124</x:v>
      </x:c>
      <x:c r="D16" s="13" t="n">
        <x:v>11</x:v>
      </x:c>
      <x:c r="E16" s="14" t="n">
        <x:v>9717.13</x:v>
      </x:c>
      <x:c r="F16" s="14" t="n">
        <x:v>3514.43</x:v>
      </x:c>
    </x:row>
    <x:row r="17" ht="22" customHeight="1">
      <x:c r="A17" s="10" t="d">
        <x:v>2024-03-01T00:00:00.000Z</x:v>
      </x:c>
      <x:c r="B17" s="2" t="str">
        <x:v>West</x:v>
      </x:c>
      <x:c r="C17" s="13" t="n">
        <x:v>124</x:v>
      </x:c>
      <x:c r="D17" s="13" t="n">
        <x:v>14</x:v>
      </x:c>
      <x:c r="E17" s="14" t="n">
        <x:v>12008.17</x:v>
      </x:c>
      <x:c r="F17" s="14" t="n">
        <x:v>3676.7</x:v>
      </x:c>
    </x:row>
    <x:row r="18" ht="22" customHeight="1">
      <x:c r="A18" s="10" t="d">
        <x:v>2024-04-01T00:00:00.000Z</x:v>
      </x:c>
      <x:c r="B18" s="2" t="str">
        <x:v>East</x:v>
      </x:c>
      <x:c r="C18" s="13" t="n">
        <x:v>148</x:v>
      </x:c>
      <x:c r="D18" s="13" t="n">
        <x:v>11</x:v>
      </x:c>
      <x:c r="E18" s="14" t="n">
        <x:v>13863.84</x:v>
      </x:c>
      <x:c r="F18" s="14" t="n">
        <x:v>4350.63</x:v>
      </x:c>
    </x:row>
    <x:row r="19" ht="22" customHeight="1">
      <x:c r="A19" s="10" t="d">
        <x:v>2024-04-01T00:00:00.000Z</x:v>
      </x:c>
      <x:c r="B19" s="2" t="str">
        <x:v>North</x:v>
      </x:c>
      <x:c r="C19" s="13" t="n">
        <x:v>128</x:v>
      </x:c>
      <x:c r="D19" s="13" t="n">
        <x:v>16</x:v>
      </x:c>
      <x:c r="E19" s="14" t="n">
        <x:v>11169.13</x:v>
      </x:c>
      <x:c r="F19" s="14" t="n">
        <x:v>3605.03</x:v>
      </x:c>
    </x:row>
    <x:row r="20" ht="22" customHeight="1">
      <x:c r="A20" s="10" t="d">
        <x:v>2024-04-01T00:00:00.000Z</x:v>
      </x:c>
      <x:c r="B20" s="2" t="str">
        <x:v>South</x:v>
      </x:c>
      <x:c r="C20" s="13" t="n">
        <x:v>125</x:v>
      </x:c>
      <x:c r="D20" s="13" t="n">
        <x:v>15</x:v>
      </x:c>
      <x:c r="E20" s="14" t="n">
        <x:v>11266</x:v>
      </x:c>
      <x:c r="F20" s="14" t="n">
        <x:v>3334.62</x:v>
      </x:c>
    </x:row>
    <x:row r="21" ht="22" customHeight="1">
      <x:c r="A21" s="10" t="d">
        <x:v>2024-04-01T00:00:00.000Z</x:v>
      </x:c>
      <x:c r="B21" s="2" t="str">
        <x:v>West</x:v>
      </x:c>
      <x:c r="C21" s="13" t="n">
        <x:v>137</x:v>
      </x:c>
      <x:c r="D21" s="13" t="n">
        <x:v>13</x:v>
      </x:c>
      <x:c r="E21" s="14" t="n">
        <x:v>13160.14</x:v>
      </x:c>
      <x:c r="F21" s="14" t="n">
        <x:v>3690.54</x:v>
      </x:c>
    </x:row>
    <x:row r="22" ht="22" customHeight="1">
      <x:c r="A22" s="10" t="d">
        <x:v>2024-05-01T00:00:00.000Z</x:v>
      </x:c>
      <x:c r="B22" s="2" t="str">
        <x:v>East</x:v>
      </x:c>
      <x:c r="C22" s="13" t="n">
        <x:v>173</x:v>
      </x:c>
      <x:c r="D22" s="13" t="n">
        <x:v>17</x:v>
      </x:c>
      <x:c r="E22" s="14" t="n">
        <x:v>15007.63</x:v>
      </x:c>
      <x:c r="F22" s="14" t="n">
        <x:v>4925.86</x:v>
      </x:c>
    </x:row>
    <x:row r="23" ht="22" customHeight="1">
      <x:c r="A23" s="10" t="d">
        <x:v>2024-05-01T00:00:00.000Z</x:v>
      </x:c>
      <x:c r="B23" s="2" t="str">
        <x:v>North</x:v>
      </x:c>
      <x:c r="C23" s="13" t="n">
        <x:v>176</x:v>
      </x:c>
      <x:c r="D23" s="13" t="n">
        <x:v>20</x:v>
      </x:c>
      <x:c r="E23" s="14" t="n">
        <x:v>16709.12</x:v>
      </x:c>
      <x:c r="F23" s="14" t="n">
        <x:v>5240.28</x:v>
      </x:c>
    </x:row>
    <x:row r="24" ht="22" customHeight="1">
      <x:c r="A24" s="10" t="d">
        <x:v>2024-05-01T00:00:00.000Z</x:v>
      </x:c>
      <x:c r="B24" s="2" t="str">
        <x:v>South</x:v>
      </x:c>
      <x:c r="C24" s="13" t="n">
        <x:v>177</x:v>
      </x:c>
      <x:c r="D24" s="13" t="n">
        <x:v>20</x:v>
      </x:c>
      <x:c r="E24" s="14" t="n">
        <x:v>15687.14</x:v>
      </x:c>
      <x:c r="F24" s="14" t="n">
        <x:v>4481.42</x:v>
      </x:c>
    </x:row>
    <x:row r="25" ht="22" customHeight="1">
      <x:c r="A25" s="10" t="d">
        <x:v>2024-05-01T00:00:00.000Z</x:v>
      </x:c>
      <x:c r="B25" s="2" t="str">
        <x:v>West</x:v>
      </x:c>
      <x:c r="C25" s="13" t="n">
        <x:v>168</x:v>
      </x:c>
      <x:c r="D25" s="13" t="n">
        <x:v>14</x:v>
      </x:c>
      <x:c r="E25" s="14" t="n">
        <x:v>14650.17</x:v>
      </x:c>
      <x:c r="F25" s="14" t="n">
        <x:v>5015.99</x:v>
      </x:c>
    </x:row>
    <x:row r="26" ht="22" customHeight="1">
      <x:c r="A26" s="10" t="d">
        <x:v>2024-06-01T00:00:00.000Z</x:v>
      </x:c>
      <x:c r="B26" s="2" t="str">
        <x:v>East</x:v>
      </x:c>
      <x:c r="C26" s="13" t="n">
        <x:v>221</x:v>
      </x:c>
      <x:c r="D26" s="13" t="n">
        <x:v>17</x:v>
      </x:c>
      <x:c r="E26" s="14" t="n">
        <x:v>21341.42</x:v>
      </x:c>
      <x:c r="F26" s="14" t="n">
        <x:v>6525.03</x:v>
      </x:c>
    </x:row>
    <x:row r="27" ht="22" customHeight="1">
      <x:c r="A27" s="10" t="d">
        <x:v>2024-06-01T00:00:00.000Z</x:v>
      </x:c>
      <x:c r="B27" s="2" t="str">
        <x:v>North</x:v>
      </x:c>
      <x:c r="C27" s="13" t="n">
        <x:v>165</x:v>
      </x:c>
      <x:c r="D27" s="13" t="n">
        <x:v>7</x:v>
      </x:c>
      <x:c r="E27" s="14" t="n">
        <x:v>15301.26</x:v>
      </x:c>
      <x:c r="F27" s="14" t="n">
        <x:v>4851.38</x:v>
      </x:c>
    </x:row>
    <x:row r="28" ht="22" customHeight="1">
      <x:c r="A28" s="10" t="d">
        <x:v>2024-06-01T00:00:00.000Z</x:v>
      </x:c>
      <x:c r="B28" s="2" t="str">
        <x:v>South</x:v>
      </x:c>
      <x:c r="C28" s="13" t="n">
        <x:v>199</x:v>
      </x:c>
      <x:c r="D28" s="13" t="n">
        <x:v>16</x:v>
      </x:c>
      <x:c r="E28" s="14" t="n">
        <x:v>17706.62</x:v>
      </x:c>
      <x:c r="F28" s="14" t="n">
        <x:v>5852.7</x:v>
      </x:c>
    </x:row>
    <x:row r="29" ht="22" customHeight="1">
      <x:c r="A29" s="10" t="d">
        <x:v>2024-06-01T00:00:00.000Z</x:v>
      </x:c>
      <x:c r="B29" s="2" t="str">
        <x:v>West</x:v>
      </x:c>
      <x:c r="C29" s="13" t="n">
        <x:v>195</x:v>
      </x:c>
      <x:c r="D29" s="13" t="n">
        <x:v>13</x:v>
      </x:c>
      <x:c r="E29" s="14" t="n">
        <x:v>19807.25</x:v>
      </x:c>
      <x:c r="F29" s="14" t="n">
        <x:v>5895.21</x:v>
      </x:c>
    </x:row>
    <x:row r="30" ht="22" customHeight="1">
      <x:c r="A30" s="10" t="d">
        <x:v>2024-07-01T00:00:00.000Z</x:v>
      </x:c>
      <x:c r="B30" s="2" t="str">
        <x:v>East</x:v>
      </x:c>
      <x:c r="C30" s="13" t="n">
        <x:v>243</x:v>
      </x:c>
      <x:c r="D30" s="13" t="n">
        <x:v>17</x:v>
      </x:c>
      <x:c r="E30" s="14" t="n">
        <x:v>22539.09</x:v>
      </x:c>
      <x:c r="F30" s="14" t="n">
        <x:v>7400.73</x:v>
      </x:c>
    </x:row>
    <x:row r="31" ht="22" customHeight="1">
      <x:c r="A31" s="10" t="d">
        <x:v>2024-07-01T00:00:00.000Z</x:v>
      </x:c>
      <x:c r="B31" s="2" t="str">
        <x:v>North</x:v>
      </x:c>
      <x:c r="C31" s="13" t="n">
        <x:v>199</x:v>
      </x:c>
      <x:c r="D31" s="13" t="n">
        <x:v>15</x:v>
      </x:c>
      <x:c r="E31" s="14" t="n">
        <x:v>19625.68</x:v>
      </x:c>
      <x:c r="F31" s="14" t="n">
        <x:v>5667.12</x:v>
      </x:c>
    </x:row>
    <x:row r="32" ht="22" customHeight="1">
      <x:c r="A32" s="10" t="d">
        <x:v>2024-07-01T00:00:00.000Z</x:v>
      </x:c>
      <x:c r="B32" s="2" t="str">
        <x:v>South</x:v>
      </x:c>
      <x:c r="C32" s="13" t="n">
        <x:v>215</x:v>
      </x:c>
      <x:c r="D32" s="13" t="n">
        <x:v>17</x:v>
      </x:c>
      <x:c r="E32" s="14" t="n">
        <x:v>21065.33</x:v>
      </x:c>
      <x:c r="F32" s="14" t="n">
        <x:v>7108.04</x:v>
      </x:c>
    </x:row>
    <x:row r="33" ht="22" customHeight="1">
      <x:c r="A33" s="10" t="d">
        <x:v>2024-07-01T00:00:00.000Z</x:v>
      </x:c>
      <x:c r="B33" s="2" t="str">
        <x:v>West</x:v>
      </x:c>
      <x:c r="C33" s="13" t="n">
        <x:v>222</x:v>
      </x:c>
      <x:c r="D33" s="13" t="n">
        <x:v>24</x:v>
      </x:c>
      <x:c r="E33" s="14" t="n">
        <x:v>19202.01</x:v>
      </x:c>
      <x:c r="F33" s="14" t="n">
        <x:v>6079.27</x:v>
      </x:c>
    </x:row>
    <x:row r="34" ht="22" customHeight="1">
      <x:c r="A34" s="10" t="d">
        <x:v>2024-08-01T00:00:00.000Z</x:v>
      </x:c>
      <x:c r="B34" s="2" t="str">
        <x:v>East</x:v>
      </x:c>
      <x:c r="C34" s="13" t="n">
        <x:v>237</x:v>
      </x:c>
      <x:c r="D34" s="13" t="n">
        <x:v>14</x:v>
      </x:c>
      <x:c r="E34" s="14" t="n">
        <x:v>23388.86</x:v>
      </x:c>
      <x:c r="F34" s="14" t="n">
        <x:v>7738.99</x:v>
      </x:c>
    </x:row>
    <x:row r="35" ht="22" customHeight="1">
      <x:c r="A35" s="10" t="d">
        <x:v>2024-08-01T00:00:00.000Z</x:v>
      </x:c>
      <x:c r="B35" s="2" t="str">
        <x:v>North</x:v>
      </x:c>
      <x:c r="C35" s="13" t="n">
        <x:v>228</x:v>
      </x:c>
      <x:c r="D35" s="13" t="n">
        <x:v>27</x:v>
      </x:c>
      <x:c r="E35" s="14" t="n">
        <x:v>20336.23</x:v>
      </x:c>
      <x:c r="F35" s="14" t="n">
        <x:v>6255.97</x:v>
      </x:c>
    </x:row>
    <x:row r="36" ht="22" customHeight="1">
      <x:c r="A36" s="10" t="d">
        <x:v>2024-08-01T00:00:00.000Z</x:v>
      </x:c>
      <x:c r="B36" s="2" t="str">
        <x:v>South</x:v>
      </x:c>
      <x:c r="C36" s="13" t="n">
        <x:v>245</x:v>
      </x:c>
      <x:c r="D36" s="13" t="n">
        <x:v>20</x:v>
      </x:c>
      <x:c r="E36" s="14" t="n">
        <x:v>21455.74</x:v>
      </x:c>
      <x:c r="F36" s="14" t="n">
        <x:v>6796.96</x:v>
      </x:c>
    </x:row>
    <x:row r="37" ht="22" customHeight="1">
      <x:c r="A37" s="10" t="d">
        <x:v>2024-08-01T00:00:00.000Z</x:v>
      </x:c>
      <x:c r="B37" s="2" t="str">
        <x:v>West</x:v>
      </x:c>
      <x:c r="C37" s="13" t="n">
        <x:v>251</x:v>
      </x:c>
      <x:c r="D37" s="13" t="n">
        <x:v>17</x:v>
      </x:c>
      <x:c r="E37" s="14" t="n">
        <x:v>26363.74</x:v>
      </x:c>
      <x:c r="F37" s="14" t="n">
        <x:v>7639.9</x:v>
      </x:c>
    </x:row>
    <x:row r="38" ht="22" customHeight="1">
      <x:c r="A38" s="10" t="d">
        <x:v>2024-09-01T00:00:00.000Z</x:v>
      </x:c>
      <x:c r="B38" s="2" t="str">
        <x:v>East</x:v>
      </x:c>
      <x:c r="C38" s="13" t="n">
        <x:v>271</x:v>
      </x:c>
      <x:c r="D38" s="13" t="n">
        <x:v>20</x:v>
      </x:c>
      <x:c r="E38" s="14" t="n">
        <x:v>25464.46</x:v>
      </x:c>
      <x:c r="F38" s="14" t="n">
        <x:v>8007.56</x:v>
      </x:c>
    </x:row>
    <x:row r="39" ht="22" customHeight="1">
      <x:c r="A39" s="10" t="d">
        <x:v>2024-09-01T00:00:00.000Z</x:v>
      </x:c>
      <x:c r="B39" s="2" t="str">
        <x:v>North</x:v>
      </x:c>
      <x:c r="C39" s="13" t="n">
        <x:v>252</x:v>
      </x:c>
      <x:c r="D39" s="13" t="n">
        <x:v>23</x:v>
      </x:c>
      <x:c r="E39" s="14" t="n">
        <x:v>23051.12</x:v>
      </x:c>
      <x:c r="F39" s="14" t="n">
        <x:v>7594.28</x:v>
      </x:c>
    </x:row>
    <x:row r="40" ht="22" customHeight="1">
      <x:c r="A40" s="10" t="d">
        <x:v>2024-09-01T00:00:00.000Z</x:v>
      </x:c>
      <x:c r="B40" s="2" t="str">
        <x:v>South</x:v>
      </x:c>
      <x:c r="C40" s="13" t="n">
        <x:v>242</x:v>
      </x:c>
      <x:c r="D40" s="13" t="n">
        <x:v>30</x:v>
      </x:c>
      <x:c r="E40" s="14" t="n">
        <x:v>20403.81</x:v>
      </x:c>
      <x:c r="F40" s="14" t="n">
        <x:v>6213.46</x:v>
      </x:c>
    </x:row>
    <x:row r="41" ht="22" customHeight="1">
      <x:c r="A41" s="10" t="d">
        <x:v>2024-09-01T00:00:00.000Z</x:v>
      </x:c>
      <x:c r="B41" s="2" t="str">
        <x:v>West</x:v>
      </x:c>
      <x:c r="C41" s="13" t="n">
        <x:v>267</x:v>
      </x:c>
      <x:c r="D41" s="13" t="n">
        <x:v>15</x:v>
      </x:c>
      <x:c r="E41" s="14" t="n">
        <x:v>27252.7</x:v>
      </x:c>
      <x:c r="F41" s="14" t="n">
        <x:v>8499.26</x:v>
      </x:c>
    </x:row>
    <x:row r="42" ht="22" customHeight="1">
      <x:c r="A42" s="10" t="d">
        <x:v>2024-10-01T00:00:00.000Z</x:v>
      </x:c>
      <x:c r="B42" s="2" t="str">
        <x:v>East</x:v>
      </x:c>
      <x:c r="C42" s="13" t="n">
        <x:v>305</x:v>
      </x:c>
      <x:c r="D42" s="13" t="n">
        <x:v>27</x:v>
      </x:c>
      <x:c r="E42" s="14" t="n">
        <x:v>27583.98</x:v>
      </x:c>
      <x:c r="F42" s="14" t="n">
        <x:v>8717.3</x:v>
      </x:c>
    </x:row>
    <x:row r="43" ht="22" customHeight="1">
      <x:c r="A43" s="10" t="d">
        <x:v>2024-10-01T00:00:00.000Z</x:v>
      </x:c>
      <x:c r="B43" s="2" t="str">
        <x:v>North</x:v>
      </x:c>
      <x:c r="C43" s="13" t="n">
        <x:v>252</x:v>
      </x:c>
      <x:c r="D43" s="13" t="n">
        <x:v>21</x:v>
      </x:c>
      <x:c r="E43" s="14" t="n">
        <x:v>24269.89</x:v>
      </x:c>
      <x:c r="F43" s="14" t="n">
        <x:v>7769.37</x:v>
      </x:c>
    </x:row>
    <x:row r="44" ht="22" customHeight="1">
      <x:c r="A44" s="10" t="d">
        <x:v>2024-10-01T00:00:00.000Z</x:v>
      </x:c>
      <x:c r="B44" s="2" t="str">
        <x:v>South</x:v>
      </x:c>
      <x:c r="C44" s="13" t="n">
        <x:v>289</x:v>
      </x:c>
      <x:c r="D44" s="13" t="n">
        <x:v>27</x:v>
      </x:c>
      <x:c r="E44" s="14" t="n">
        <x:v>26148.23</x:v>
      </x:c>
      <x:c r="F44" s="14" t="n">
        <x:v>8310.05</x:v>
      </x:c>
    </x:row>
    <x:row r="45" ht="22" customHeight="1">
      <x:c r="A45" s="10" t="d">
        <x:v>2024-10-01T00:00:00.000Z</x:v>
      </x:c>
      <x:c r="B45" s="2" t="str">
        <x:v>West</x:v>
      </x:c>
      <x:c r="C45" s="13" t="n">
        <x:v>287</x:v>
      </x:c>
      <x:c r="D45" s="13" t="n">
        <x:v>21</x:v>
      </x:c>
      <x:c r="E45" s="14" t="n">
        <x:v>27115.37</x:v>
      </x:c>
      <x:c r="F45" s="14" t="n">
        <x:v>8839.14</x:v>
      </x:c>
    </x:row>
    <x:row r="46" ht="22" customHeight="1">
      <x:c r="A46" s="10" t="d">
        <x:v>2024-11-01T00:00:00.000Z</x:v>
      </x:c>
      <x:c r="B46" s="2" t="str">
        <x:v>East</x:v>
      </x:c>
      <x:c r="C46" s="13" t="n">
        <x:v>245</x:v>
      </x:c>
      <x:c r="D46" s="13" t="n">
        <x:v>26</x:v>
      </x:c>
      <x:c r="E46" s="14" t="n">
        <x:v>24694.38</x:v>
      </x:c>
      <x:c r="F46" s="14" t="n">
        <x:v>7112.78</x:v>
      </x:c>
    </x:row>
    <x:row r="47" ht="22" customHeight="1">
      <x:c r="A47" s="10" t="d">
        <x:v>2024-11-01T00:00:00.000Z</x:v>
      </x:c>
      <x:c r="B47" s="2" t="str">
        <x:v>North</x:v>
      </x:c>
      <x:c r="C47" s="13" t="n">
        <x:v>234</x:v>
      </x:c>
      <x:c r="D47" s="13" t="n">
        <x:v>19</x:v>
      </x:c>
      <x:c r="E47" s="14" t="n">
        <x:v>20375.53</x:v>
      </x:c>
      <x:c r="F47" s="14" t="n">
        <x:v>6567.16</x:v>
      </x:c>
    </x:row>
    <x:row r="48" ht="22" customHeight="1">
      <x:c r="A48" s="10" t="d">
        <x:v>2024-11-01T00:00:00.000Z</x:v>
      </x:c>
      <x:c r="B48" s="2" t="str">
        <x:v>South</x:v>
      </x:c>
      <x:c r="C48" s="13" t="n">
        <x:v>234</x:v>
      </x:c>
      <x:c r="D48" s="13" t="n">
        <x:v>28</x:v>
      </x:c>
      <x:c r="E48" s="14" t="n">
        <x:v>20788.73</x:v>
      </x:c>
      <x:c r="F48" s="14" t="n">
        <x:v>6443.51</x:v>
      </x:c>
    </x:row>
    <x:row r="49" ht="22" customHeight="1">
      <x:c r="A49" s="10" t="d">
        <x:v>2024-11-01T00:00:00.000Z</x:v>
      </x:c>
      <x:c r="B49" s="2" t="str">
        <x:v>West</x:v>
      </x:c>
      <x:c r="C49" s="13" t="n">
        <x:v>239</x:v>
      </x:c>
      <x:c r="D49" s="13" t="n">
        <x:v>27</x:v>
      </x:c>
      <x:c r="E49" s="14" t="n">
        <x:v>20636.9</x:v>
      </x:c>
      <x:c r="F49" s="14" t="n">
        <x:v>6276.27</x:v>
      </x:c>
    </x:row>
    <x:row r="50" ht="22" customHeight="1">
      <x:c r="A50" s="10" t="d">
        <x:v>2024-12-01T00:00:00.000Z</x:v>
      </x:c>
      <x:c r="B50" s="2" t="str">
        <x:v>East</x:v>
      </x:c>
      <x:c r="C50" s="13" t="n">
        <x:v>235</x:v>
      </x:c>
      <x:c r="D50" s="13" t="n">
        <x:v>22</x:v>
      </x:c>
      <x:c r="E50" s="14" t="n">
        <x:v>20097.89</x:v>
      </x:c>
      <x:c r="F50" s="14" t="n">
        <x:v>6486.05</x:v>
      </x:c>
    </x:row>
    <x:row r="51" ht="22" customHeight="1">
      <x:c r="A51" s="10" t="d">
        <x:v>2024-12-01T00:00:00.000Z</x:v>
      </x:c>
      <x:c r="B51" s="2" t="str">
        <x:v>North</x:v>
      </x:c>
      <x:c r="C51" s="13" t="n">
        <x:v>227</x:v>
      </x:c>
      <x:c r="D51" s="13" t="n">
        <x:v>19</x:v>
      </x:c>
      <x:c r="E51" s="14" t="n">
        <x:v>21505.15</x:v>
      </x:c>
      <x:c r="F51" s="14" t="n">
        <x:v>6635.09</x:v>
      </x:c>
    </x:row>
    <x:row r="52" ht="22" customHeight="1">
      <x:c r="A52" s="10" t="d">
        <x:v>2024-12-01T00:00:00.000Z</x:v>
      </x:c>
      <x:c r="B52" s="2" t="str">
        <x:v>South</x:v>
      </x:c>
      <x:c r="C52" s="13" t="n">
        <x:v>207</x:v>
      </x:c>
      <x:c r="D52" s="13" t="n">
        <x:v>23</x:v>
      </x:c>
      <x:c r="E52" s="14" t="n">
        <x:v>20257.9</x:v>
      </x:c>
      <x:c r="F52" s="14" t="n">
        <x:v>6096.51</x:v>
      </x:c>
    </x:row>
    <x:row r="53" ht="22" customHeight="1">
      <x:c r="A53" s="10" t="d">
        <x:v>2024-12-01T00:00:00.000Z</x:v>
      </x:c>
      <x:c r="B53" s="2" t="str">
        <x:v>West</x:v>
      </x:c>
      <x:c r="C53" s="13" t="n">
        <x:v>242</x:v>
      </x:c>
      <x:c r="D53" s="13" t="n">
        <x:v>26</x:v>
      </x:c>
      <x:c r="E53" s="14" t="n">
        <x:v>22022.64</x:v>
      </x:c>
      <x:c r="F53" s="14" t="n">
        <x:v>6480.08</x:v>
      </x:c>
    </x:row>
    <x:row r="54" ht="22" customHeight="1">
      <x:c r="A54" s="10" t="d">
        <x:v>2025-01-01T00:00:00.000Z</x:v>
      </x:c>
      <x:c r="B54" s="2" t="str">
        <x:v>East</x:v>
      </x:c>
      <x:c r="C54" s="13" t="n">
        <x:v>235</x:v>
      </x:c>
      <x:c r="D54" s="13" t="n">
        <x:v>20</x:v>
      </x:c>
      <x:c r="E54" s="14" t="n">
        <x:v>20422.22</x:v>
      </x:c>
      <x:c r="F54" s="14" t="n">
        <x:v>6982.63</x:v>
      </x:c>
    </x:row>
    <x:row r="55" ht="22" customHeight="1">
      <x:c r="A55" s="10" t="d">
        <x:v>2025-01-01T00:00:00.000Z</x:v>
      </x:c>
      <x:c r="B55" s="2" t="str">
        <x:v>North</x:v>
      </x:c>
      <x:c r="C55" s="13" t="n">
        <x:v>218</x:v>
      </x:c>
      <x:c r="D55" s="13" t="n">
        <x:v>23</x:v>
      </x:c>
      <x:c r="E55" s="14" t="n">
        <x:v>21130.88</x:v>
      </x:c>
      <x:c r="F55" s="14" t="n">
        <x:v>6348.98</x:v>
      </x:c>
    </x:row>
    <x:row r="56" ht="22" customHeight="1">
      <x:c r="A56" s="10" t="d">
        <x:v>2025-01-01T00:00:00.000Z</x:v>
      </x:c>
      <x:c r="B56" s="2" t="str">
        <x:v>South</x:v>
      </x:c>
      <x:c r="C56" s="13" t="n">
        <x:v>218</x:v>
      </x:c>
      <x:c r="D56" s="13" t="n">
        <x:v>23</x:v>
      </x:c>
      <x:c r="E56" s="14" t="n">
        <x:v>19786.62</x:v>
      </x:c>
      <x:c r="F56" s="14" t="n">
        <x:v>6150.33</x:v>
      </x:c>
    </x:row>
    <x:row r="57" ht="22" customHeight="1">
      <x:c r="A57" s="10" t="d">
        <x:v>2025-01-01T00:00:00.000Z</x:v>
      </x:c>
      <x:c r="B57" s="2" t="str">
        <x:v>West</x:v>
      </x:c>
      <x:c r="C57" s="13" t="n">
        <x:v>224</x:v>
      </x:c>
      <x:c r="D57" s="13" t="n">
        <x:v>15</x:v>
      </x:c>
      <x:c r="E57" s="14" t="n">
        <x:v>21869.56</x:v>
      </x:c>
      <x:c r="F57" s="14" t="n">
        <x:v>6708.85</x:v>
      </x:c>
    </x:row>
    <x:row r="58" ht="22" customHeight="1">
      <x:c r="A58" s="10" t="d">
        <x:v>2025-02-01T00:00:00.000Z</x:v>
      </x:c>
      <x:c r="B58" s="2" t="str">
        <x:v>East</x:v>
      </x:c>
      <x:c r="C58" s="13" t="n">
        <x:v>242</x:v>
      </x:c>
      <x:c r="D58" s="13" t="n">
        <x:v>30</x:v>
      </x:c>
      <x:c r="E58" s="14" t="n">
        <x:v>22621.01</x:v>
      </x:c>
      <x:c r="F58" s="14" t="n">
        <x:v>7050.1</x:v>
      </x:c>
    </x:row>
    <x:row r="59" ht="22" customHeight="1">
      <x:c r="A59" s="10" t="d">
        <x:v>2025-02-01T00:00:00.000Z</x:v>
      </x:c>
      <x:c r="B59" s="2" t="str">
        <x:v>North</x:v>
      </x:c>
      <x:c r="C59" s="13" t="n">
        <x:v>185</x:v>
      </x:c>
      <x:c r="D59" s="13" t="n">
        <x:v>21</x:v>
      </x:c>
      <x:c r="E59" s="14" t="n">
        <x:v>16762.15</x:v>
      </x:c>
      <x:c r="F59" s="14" t="n">
        <x:v>5278.83</x:v>
      </x:c>
    </x:row>
    <x:row r="60" ht="22" customHeight="1">
      <x:c r="A60" s="10" t="d">
        <x:v>2025-02-01T00:00:00.000Z</x:v>
      </x:c>
      <x:c r="B60" s="2" t="str">
        <x:v>South</x:v>
      </x:c>
      <x:c r="C60" s="13" t="n">
        <x:v>206</x:v>
      </x:c>
      <x:c r="D60" s="13" t="n">
        <x:v>18</x:v>
      </x:c>
      <x:c r="E60" s="14" t="n">
        <x:v>18942.96</x:v>
      </x:c>
      <x:c r="F60" s="14" t="n">
        <x:v>6047.61</x:v>
      </x:c>
    </x:row>
    <x:row r="61" ht="22" customHeight="1">
      <x:c r="A61" s="10" t="d">
        <x:v>2025-02-01T00:00:00.000Z</x:v>
      </x:c>
      <x:c r="B61" s="2" t="str">
        <x:v>West</x:v>
      </x:c>
      <x:c r="C61" s="13" t="n">
        <x:v>218</x:v>
      </x:c>
      <x:c r="D61" s="13" t="n">
        <x:v>23</x:v>
      </x:c>
      <x:c r="E61" s="14" t="n">
        <x:v>18590.35</x:v>
      </x:c>
      <x:c r="F61" s="14" t="n">
        <x:v>6177.64</x:v>
      </x:c>
    </x:row>
    <x:row r="62" ht="22" customHeight="1">
      <x:c r="A62" s="10" t="d">
        <x:v>2025-03-01T00:00:00.000Z</x:v>
      </x:c>
      <x:c r="B62" s="2" t="str">
        <x:v>East</x:v>
      </x:c>
      <x:c r="C62" s="13" t="n">
        <x:v>230</x:v>
      </x:c>
      <x:c r="D62" s="13" t="n">
        <x:v>21</x:v>
      </x:c>
      <x:c r="E62" s="14" t="n">
        <x:v>20743.55</x:v>
      </x:c>
      <x:c r="F62" s="14" t="n">
        <x:v>6475.05</x:v>
      </x:c>
    </x:row>
    <x:row r="63" ht="22" customHeight="1">
      <x:c r="A63" s="10" t="d">
        <x:v>2025-03-01T00:00:00.000Z</x:v>
      </x:c>
      <x:c r="B63" s="2" t="str">
        <x:v>North</x:v>
      </x:c>
      <x:c r="C63" s="13" t="n">
        <x:v>215</x:v>
      </x:c>
      <x:c r="D63" s="13" t="n">
        <x:v>24</x:v>
      </x:c>
      <x:c r="E63" s="14" t="n">
        <x:v>20219.2</x:v>
      </x:c>
      <x:c r="F63" s="14" t="n">
        <x:v>6181.48</x:v>
      </x:c>
    </x:row>
    <x:row r="64" ht="22" customHeight="1">
      <x:c r="A64" s="10" t="d">
        <x:v>2025-03-01T00:00:00.000Z</x:v>
      </x:c>
      <x:c r="B64" s="2" t="str">
        <x:v>South</x:v>
      </x:c>
      <x:c r="C64" s="13" t="n">
        <x:v>203</x:v>
      </x:c>
      <x:c r="D64" s="13" t="n">
        <x:v>19</x:v>
      </x:c>
      <x:c r="E64" s="14" t="n">
        <x:v>16668.45</x:v>
      </x:c>
      <x:c r="F64" s="14" t="n">
        <x:v>5007.22</x:v>
      </x:c>
    </x:row>
    <x:row r="65" ht="22" customHeight="1">
      <x:c r="A65" s="10" t="d">
        <x:v>2025-03-01T00:00:00.000Z</x:v>
      </x:c>
      <x:c r="B65" s="2" t="str">
        <x:v>West</x:v>
      </x:c>
      <x:c r="C65" s="13" t="n">
        <x:v>227</x:v>
      </x:c>
      <x:c r="D65" s="13" t="n">
        <x:v>28</x:v>
      </x:c>
      <x:c r="E65" s="14" t="n">
        <x:v>21731.74</x:v>
      </x:c>
      <x:c r="F65" s="14" t="n">
        <x:v>6583.78</x:v>
      </x:c>
    </x:row>
    <x:row r="66" ht="22" customHeight="1">
      <x:c r="A66" s="10" t="d">
        <x:v>2025-04-01T00:00:00.000Z</x:v>
      </x:c>
      <x:c r="B66" s="2" t="str">
        <x:v>East</x:v>
      </x:c>
      <x:c r="C66" s="13" t="n">
        <x:v>244</x:v>
      </x:c>
      <x:c r="D66" s="13" t="n">
        <x:v>19</x:v>
      </x:c>
      <x:c r="E66" s="14" t="n">
        <x:v>20113.02</x:v>
      </x:c>
      <x:c r="F66" s="14" t="n">
        <x:v>6840.2</x:v>
      </x:c>
    </x:row>
    <x:row r="67" ht="22" customHeight="1">
      <x:c r="A67" s="10" t="d">
        <x:v>2025-04-01T00:00:00.000Z</x:v>
      </x:c>
      <x:c r="B67" s="2" t="str">
        <x:v>North</x:v>
      </x:c>
      <x:c r="C67" s="13" t="n">
        <x:v>198</x:v>
      </x:c>
      <x:c r="D67" s="13" t="n">
        <x:v>18</x:v>
      </x:c>
      <x:c r="E67" s="14" t="n">
        <x:v>18106.75</x:v>
      </x:c>
      <x:c r="F67" s="14" t="n">
        <x:v>5387.4</x:v>
      </x:c>
    </x:row>
    <x:row r="68" ht="22" customHeight="1">
      <x:c r="A68" s="10" t="d">
        <x:v>2025-04-01T00:00:00.000Z</x:v>
      </x:c>
      <x:c r="B68" s="2" t="str">
        <x:v>South</x:v>
      </x:c>
      <x:c r="C68" s="13" t="n">
        <x:v>206</x:v>
      </x:c>
      <x:c r="D68" s="13" t="n">
        <x:v>15</x:v>
      </x:c>
      <x:c r="E68" s="14" t="n">
        <x:v>18411.52</x:v>
      </x:c>
      <x:c r="F68" s="14" t="n">
        <x:v>6072.49</x:v>
      </x:c>
    </x:row>
    <x:row r="69" ht="22" customHeight="1">
      <x:c r="A69" s="10" t="d">
        <x:v>2025-04-01T00:00:00.000Z</x:v>
      </x:c>
      <x:c r="B69" s="2" t="str">
        <x:v>West</x:v>
      </x:c>
      <x:c r="C69" s="13" t="n">
        <x:v>169</x:v>
      </x:c>
      <x:c r="D69" s="13" t="n">
        <x:v>19</x:v>
      </x:c>
      <x:c r="E69" s="14" t="n">
        <x:v>14390.58</x:v>
      </x:c>
      <x:c r="F69" s="14" t="n">
        <x:v>4648.54</x:v>
      </x:c>
    </x:row>
    <x:row r="70" ht="22" customHeight="1">
      <x:c r="A70" s="10" t="d">
        <x:v>2025-05-01T00:00:00.000Z</x:v>
      </x:c>
      <x:c r="B70" s="2" t="str">
        <x:v>East</x:v>
      </x:c>
      <x:c r="C70" s="13" t="n">
        <x:v>219</x:v>
      </x:c>
      <x:c r="D70" s="13" t="n">
        <x:v>16</x:v>
      </x:c>
      <x:c r="E70" s="14" t="n">
        <x:v>21139.35</x:v>
      </x:c>
      <x:c r="F70" s="14" t="n">
        <x:v>7048.52</x:v>
      </x:c>
    </x:row>
    <x:row r="71" ht="22" customHeight="1">
      <x:c r="A71" s="10" t="d">
        <x:v>2025-05-01T00:00:00.000Z</x:v>
      </x:c>
      <x:c r="B71" s="2" t="str">
        <x:v>North</x:v>
      </x:c>
      <x:c r="C71" s="13" t="n">
        <x:v>182</x:v>
      </x:c>
      <x:c r="D71" s="13" t="n">
        <x:v>16</x:v>
      </x:c>
      <x:c r="E71" s="14" t="n">
        <x:v>17371.17</x:v>
      </x:c>
      <x:c r="F71" s="14" t="n">
        <x:v>5511.41</x:v>
      </x:c>
    </x:row>
    <x:row r="72" ht="22" customHeight="1">
      <x:c r="A72" s="10" t="d">
        <x:v>2025-05-01T00:00:00.000Z</x:v>
      </x:c>
      <x:c r="B72" s="2" t="str">
        <x:v>South</x:v>
      </x:c>
      <x:c r="C72" s="13" t="n">
        <x:v>155</x:v>
      </x:c>
      <x:c r="D72" s="13" t="n">
        <x:v>12</x:v>
      </x:c>
      <x:c r="E72" s="14" t="n">
        <x:v>14999.73</x:v>
      </x:c>
      <x:c r="F72" s="14" t="n">
        <x:v>4822.51</x:v>
      </x:c>
    </x:row>
    <x:row r="73" ht="22" customHeight="1">
      <x:c r="A73" s="10" t="d">
        <x:v>2025-05-01T00:00:00.000Z</x:v>
      </x:c>
      <x:c r="B73" s="2" t="str">
        <x:v>West</x:v>
      </x:c>
      <x:c r="C73" s="13" t="n">
        <x:v>194</x:v>
      </x:c>
      <x:c r="D73" s="13" t="n">
        <x:v>21</x:v>
      </x:c>
      <x:c r="E73" s="14" t="n">
        <x:v>16365.47</x:v>
      </x:c>
      <x:c r="F73" s="14" t="n">
        <x:v>5221.68</x:v>
      </x:c>
    </x:row>
    <x:row r="74" ht="22" customHeight="1">
      <x:c r="A74" s="10" t="d">
        <x:v>2025-06-01T00:00:00.000Z</x:v>
      </x:c>
      <x:c r="B74" s="2" t="str">
        <x:v>East</x:v>
      </x:c>
      <x:c r="C74" s="13" t="n">
        <x:v>176</x:v>
      </x:c>
      <x:c r="D74" s="13" t="n">
        <x:v>17</x:v>
      </x:c>
      <x:c r="E74" s="14" t="n">
        <x:v>16791.39</x:v>
      </x:c>
      <x:c r="F74" s="14" t="n">
        <x:v>4878.94</x:v>
      </x:c>
    </x:row>
    <x:row r="75" ht="22" customHeight="1">
      <x:c r="A75" s="10" t="d">
        <x:v>2025-06-01T00:00:00.000Z</x:v>
      </x:c>
      <x:c r="B75" s="2" t="str">
        <x:v>North</x:v>
      </x:c>
      <x:c r="C75" s="13" t="n">
        <x:v>166</x:v>
      </x:c>
      <x:c r="D75" s="13" t="n">
        <x:v>12</x:v>
      </x:c>
      <x:c r="E75" s="14" t="n">
        <x:v>15034.77</x:v>
      </x:c>
      <x:c r="F75" s="14" t="n">
        <x:v>4489.08</x:v>
      </x:c>
    </x:row>
    <x:row r="76" ht="22" customHeight="1">
      <x:c r="A76" s="10" t="d">
        <x:v>2025-06-01T00:00:00.000Z</x:v>
      </x:c>
      <x:c r="B76" s="2" t="str">
        <x:v>South</x:v>
      </x:c>
      <x:c r="C76" s="13" t="n">
        <x:v>181</x:v>
      </x:c>
      <x:c r="D76" s="13" t="n">
        <x:v>21</x:v>
      </x:c>
      <x:c r="E76" s="14" t="n">
        <x:v>15835.27</x:v>
      </x:c>
      <x:c r="F76" s="14" t="n">
        <x:v>5097.47</x:v>
      </x:c>
    </x:row>
    <x:row r="77" ht="22" customHeight="1">
      <x:c r="A77" s="10" t="d">
        <x:v>2025-06-01T00:00:00.000Z</x:v>
      </x:c>
      <x:c r="B77" s="2" t="str">
        <x:v>West</x:v>
      </x:c>
      <x:c r="C77" s="13" t="n">
        <x:v>174</x:v>
      </x:c>
      <x:c r="D77" s="13" t="n">
        <x:v>17</x:v>
      </x:c>
      <x:c r="E77" s="14" t="n">
        <x:v>14392.28</x:v>
      </x:c>
      <x:c r="F77" s="14" t="n">
        <x:v>4862.51</x:v>
      </x:c>
    </x:row>
    <x:row r="78" ht="22" customHeight="1">
      <x:c r="A78" s="2"/>
      <x:c r="B78" s="2"/>
      <x:c r="C78" s="2"/>
      <x:c r="D78" s="2"/>
      <x:c r="E78" s="2"/>
      <x:c r="F78" s="2"/>
    </x:row>
  </x:sheetData>
  <x:pageMargins left="0.7" right="0.7" top="0.75" bottom="0.75" header="0.3" footer="0.3"/>
  <x:tableParts count="1">
    <x:tablePart xmlns:r="http://schemas.openxmlformats.org/officeDocument/2006/relationships" r:id="R1ce3e7c8565840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Forecast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 t="str">
        <x:v>Source: outputs/forecast_backtest.csv. WAPE compares forecasts over identical held-out months.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6"/>
      <x:c r="P4" s="6"/>
      <x:c r="Q4" s="6"/>
    </x:row>
    <x:row r="5" ht="27" customHeight="1">
      <x:c r="A5" s="9" t="str">
        <x:v>Month</x:v>
      </x:c>
      <x:c r="B5" s="9" t="str">
        <x:v>Actual USD</x:v>
      </x:c>
      <x:c r="C5" s="9" t="str">
        <x:v>Trend forecast USD</x:v>
      </x:c>
      <x:c r="D5" s="9" t="str">
        <x:v>Naive forecast USD</x:v>
      </x:c>
      <x:c r="E5" s="9" t="str">
        <x:v>Trend absolute error</x:v>
      </x:c>
      <x:c r="F5" s="9" t="str">
        <x:v>Naive absolute error</x:v>
      </x:c>
      <x:c r="G5" s="2"/>
      <x:c r="H5" s="9" t="str">
        <x:v>Measure</x:v>
      </x:c>
      <x:c r="I5" s="9" t="str">
        <x:v>Result</x:v>
      </x:c>
      <x:c r="J5" s="2"/>
      <x:c r="K5" s="2"/>
      <x:c r="L5" s="2"/>
      <x:c r="M5" s="2"/>
      <x:c r="N5" s="2"/>
    </x:row>
    <x:row r="6" ht="22" customHeight="1">
      <x:c r="A6" s="2" t="str">
        <x:v>2024-10</x:v>
      </x:c>
      <x:c r="B6" s="14" t="n">
        <x:v>105117.47</x:v>
      </x:c>
      <x:c r="C6" s="14" t="n">
        <x:v>108630.935278</x:v>
      </x:c>
      <x:c r="D6" s="14" t="n">
        <x:v>96172.09</x:v>
      </x:c>
      <x:c r="E6" s="14" t="n">
        <x:f>ABS(B6-C6)</x:f>
        <x:v>3513.4652780000033</x:v>
      </x:c>
      <x:c r="F6" s="14" t="n">
        <x:f>ABS(B6-D6)</x:f>
        <x:v>8945.380000000005</x:v>
      </x:c>
      <x:c r="G6" s="2"/>
      <x:c r="H6" s="2" t="str">
        <x:v>Trend WAPE</x:v>
      </x:c>
      <x:c r="I6" s="18" t="n">
        <x:f>SUM(E6:E14)/SUM(B6:B14)</x:f>
        <x:v>0.3473969566211545</x:v>
      </x:c>
      <x:c r="J6" s="2"/>
      <x:c r="K6" s="2"/>
      <x:c r="L6" s="2"/>
      <x:c r="M6" s="2"/>
      <x:c r="N6" s="2"/>
    </x:row>
    <x:row r="7" ht="22" customHeight="1">
      <x:c r="A7" s="2" t="str">
        <x:v>2024-11</x:v>
      </x:c>
      <x:c r="B7" s="14" t="n">
        <x:v>86495.54</x:v>
      </x:c>
      <x:c r="C7" s="14" t="n">
        <x:v>116564.81</x:v>
      </x:c>
      <x:c r="D7" s="14" t="n">
        <x:v>105117.47</x:v>
      </x:c>
      <x:c r="E7" s="14" t="n">
        <x:f>ABS(B7-C7)</x:f>
        <x:v>30069.270000000004</x:v>
      </x:c>
      <x:c r="F7" s="14" t="n">
        <x:f>ABS(B7-D7)</x:f>
        <x:v>18621.930000000008</x:v>
      </x:c>
      <x:c r="G7" s="2"/>
      <x:c r="H7" s="2" t="str">
        <x:v>Naive WAPE</x:v>
      </x:c>
      <x:c r="I7" s="18" t="n">
        <x:f>SUM(F6:F14)/SUM(B6:B14)</x:f>
        <x:v>0.07925780853790737</x:v>
      </x:c>
      <x:c r="J7" s="2"/>
      <x:c r="K7" s="2"/>
      <x:c r="L7" s="2"/>
      <x:c r="M7" s="2"/>
      <x:c r="N7" s="2"/>
    </x:row>
    <x:row r="8" ht="22" customHeight="1">
      <x:c r="A8" s="2" t="str">
        <x:v>2024-12</x:v>
      </x:c>
      <x:c r="B8" s="14" t="n">
        <x:v>83883.58</x:v>
      </x:c>
      <x:c r="C8" s="14" t="n">
        <x:v>114778.147273</x:v>
      </x:c>
      <x:c r="D8" s="14" t="n">
        <x:v>86495.54</x:v>
      </x:c>
      <x:c r="E8" s="14" t="n">
        <x:f>ABS(B8-C8)</x:f>
        <x:v>30894.567272999993</x:v>
      </x:c>
      <x:c r="F8" s="14" t="n">
        <x:f>ABS(B8-D8)</x:f>
        <x:v>2611.959999999992</x:v>
      </x:c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2" t="str">
        <x:v>2025-01</x:v>
      </x:c>
      <x:c r="B9" s="14" t="n">
        <x:v>83209.28</x:v>
      </x:c>
      <x:c r="C9" s="14" t="n">
        <x:v>112260.790455</x:v>
      </x:c>
      <x:c r="D9" s="14" t="n">
        <x:v>83883.58</x:v>
      </x:c>
      <x:c r="E9" s="14" t="n">
        <x:f>ABS(B9-C9)</x:f>
        <x:v>29051.510454999996</x:v>
      </x:c>
      <x:c r="F9" s="14" t="n">
        <x:f>ABS(B9-D9)</x:f>
        <x:v>674.3000000000029</x:v>
      </x:c>
      <x:c r="G9" s="2"/>
      <x:c r="H9" s="2"/>
      <x:c r="I9" s="2"/>
      <x:c r="J9" s="2"/>
      <x:c r="K9" s="2"/>
      <x:c r="L9" s="2"/>
      <x:c r="M9" s="2"/>
      <x:c r="N9" s="2"/>
    </x:row>
    <x:row r="10" ht="22" customHeight="1">
      <x:c r="A10" s="2" t="str">
        <x:v>2025-02</x:v>
      </x:c>
      <x:c r="B10" s="14" t="n">
        <x:v>76916.47</x:v>
      </x:c>
      <x:c r="C10" s="14" t="n">
        <x:v>109914.443846</x:v>
      </x:c>
      <x:c r="D10" s="14" t="n">
        <x:v>83209.28</x:v>
      </x:c>
      <x:c r="E10" s="14" t="n">
        <x:f>ABS(B10-C10)</x:f>
        <x:v>32997.97384599999</x:v>
      </x:c>
      <x:c r="F10" s="14" t="n">
        <x:f>ABS(B10-D10)</x:f>
        <x:v>6292.809999999998</x:v>
      </x:c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2" t="str">
        <x:v>2025-03</x:v>
      </x:c>
      <x:c r="B11" s="14" t="n">
        <x:v>79362.94</x:v>
      </x:c>
      <x:c r="C11" s="14" t="n">
        <x:v>106121.288901</x:v>
      </x:c>
      <x:c r="D11" s="14" t="n">
        <x:v>76916.47</x:v>
      </x:c>
      <x:c r="E11" s="14" t="n">
        <x:f>ABS(B11-C11)</x:f>
        <x:v>26758.348901000005</x:v>
      </x:c>
      <x:c r="F11" s="14" t="n">
        <x:f>ABS(B11-D11)</x:f>
        <x:v>2446.470000000001</x:v>
      </x:c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" t="str">
        <x:v>2025-04</x:v>
      </x:c>
      <x:c r="B12" s="14" t="n">
        <x:v>71021.87</x:v>
      </x:c>
      <x:c r="C12" s="14" t="n">
        <x:v>103677.767524</x:v>
      </x:c>
      <x:c r="D12" s="14" t="n">
        <x:v>79362.94</x:v>
      </x:c>
      <x:c r="E12" s="14" t="n">
        <x:f>ABS(B12-C12)</x:f>
        <x:v>32655.897524</x:v>
      </x:c>
      <x:c r="F12" s="14" t="n">
        <x:f>ABS(B12-D12)</x:f>
        <x:v>8341.070000000007</x:v>
      </x:c>
      <x:c r="G12" s="2"/>
      <x:c r="H12" s="2"/>
      <x:c r="I12" s="2"/>
      <x:c r="J12" s="2"/>
      <x:c r="K12" s="2"/>
      <x:c r="L12" s="2"/>
      <x:c r="M12" s="2"/>
      <x:c r="N12" s="2"/>
    </x:row>
    <x:row r="13" ht="22" customHeight="1">
      <x:c r="A13" s="2" t="str">
        <x:v>2025-05</x:v>
      </x:c>
      <x:c r="B13" s="14" t="n">
        <x:v>69875.72</x:v>
      </x:c>
      <x:c r="C13" s="14" t="n">
        <x:v>99536.87275</x:v>
      </x:c>
      <x:c r="D13" s="14" t="n">
        <x:v>71021.87</x:v>
      </x:c>
      <x:c r="E13" s="14" t="n">
        <x:f>ABS(B13-C13)</x:f>
        <x:v>29661.152749999994</x:v>
      </x:c>
      <x:c r="F13" s="14" t="n">
        <x:f>ABS(B13-D13)</x:f>
        <x:v>1146.1499999999942</x:v>
      </x:c>
      <x:c r="G13" s="2"/>
      <x:c r="H13" s="2"/>
      <x:c r="I13" s="2"/>
      <x:c r="J13" s="2"/>
      <x:c r="K13" s="2"/>
      <x:c r="L13" s="2"/>
      <x:c r="M13" s="2"/>
      <x:c r="N13" s="2"/>
    </x:row>
    <x:row r="14" ht="22" customHeight="1">
      <x:c r="A14" s="2" t="str">
        <x:v>2025-06</x:v>
      </x:c>
      <x:c r="B14" s="14" t="n">
        <x:v>62053.71</x:v>
      </x:c>
      <x:c r="C14" s="14" t="n">
        <x:v>95860.506912</x:v>
      </x:c>
      <x:c r="D14" s="14" t="n">
        <x:v>69875.72</x:v>
      </x:c>
      <x:c r="E14" s="14" t="n">
        <x:f>ABS(B14-C14)</x:f>
        <x:v>33806.796912</x:v>
      </x:c>
      <x:c r="F14" s="14" t="n">
        <x:f>ABS(B14-D14)</x:f>
        <x:v>7822.010000000002</x:v>
      </x:c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</x:sheetData>
  <x:pageMargins left="0.7" right="0.7" top="0.75" bottom="0.75" header="0.3" footer="0.3"/>
  <x:drawing xmlns:r="http://schemas.openxmlformats.org/officeDocument/2006/relationships" r:id="R1b5655917e8a48ea"/>
</x:worksheet>
</file>